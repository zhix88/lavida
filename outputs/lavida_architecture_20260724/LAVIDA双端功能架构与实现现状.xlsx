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功能清单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E5C76"/>
      <sz val="10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FFFFFF"/>
    </font>
    <font>
      <name val="Microsoft YaHei"/>
      <b val="1"/>
    </font>
    <font>
      <name val="Microsoft YaHei"/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7FBFF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/>
      <top/>
      <bottom/>
      <diagonal/>
    </border>
    <border>
      <left style="thin">
        <color rgb="00D9E2F3"/>
      </left>
      <right style="thin">
        <color rgb="00D9E2F3"/>
      </right>
      <top/>
      <bottom/>
      <diagonal/>
    </border>
    <border>
      <left style="thin">
        <color rgb="00D9E2F3"/>
      </left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  <xf numFmtId="0" fontId="6" fillId="3" borderId="1" pivotButton="0" quotePrefix="0" xfId="0"/>
    <xf numFmtId="1" fontId="7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3" borderId="0" pivotButton="0" quotePrefix="0" xfId="0"/>
    <xf numFmtId="164" fontId="7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0" fontId="5" fillId="4" borderId="0" pivotButton="0" quotePrefix="0" xfId="0"/>
    <xf numFmtId="0" fontId="0" fillId="7" borderId="0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horizontal="center" vertical="top" wrapText="1"/>
    </xf>
    <xf numFmtId="164" fontId="5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375623"/>
      </font>
      <fill>
        <patternFill patternType="solid">
          <fgColor rgb="00E2F0D9"/>
        </patternFill>
      </fill>
    </dxf>
    <dxf>
      <font>
        <color rgb="007F60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双端功能点数量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'汇总'!G3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'汇总'!$F$4:$F$5</f>
            </numRef>
          </cat>
          <val>
            <numRef>
              <f>'汇总'!$G$4:$G$5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功能点数量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产品端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6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12" customWidth="1" min="3" max="3"/>
    <col width="26" customWidth="1" min="4" max="4"/>
    <col width="15" customWidth="1" min="6" max="6"/>
    <col width="15" customWidth="1" min="7" max="7"/>
  </cols>
  <sheetData>
    <row r="1" ht="28" customHeight="1">
      <c r="A1" s="1" t="inlineStr">
        <is>
          <t>LAVIDA 双端功能架构实现概览</t>
        </is>
      </c>
    </row>
    <row r="3">
      <c r="A3" s="2" t="inlineStr">
        <is>
          <t>统计维度</t>
        </is>
      </c>
      <c r="B3" s="2" t="inlineStr">
        <is>
          <t>数量</t>
        </is>
      </c>
      <c r="F3" t="inlineStr">
        <is>
          <t>产品端</t>
        </is>
      </c>
      <c r="G3" t="inlineStr">
        <is>
          <t>功能点数量</t>
        </is>
      </c>
    </row>
    <row r="4">
      <c r="A4" s="3" t="inlineStr">
        <is>
          <t>功能点总数</t>
        </is>
      </c>
      <c r="B4" s="4">
        <f>COUNTA('功能清单'!D5:D107)</f>
        <v/>
      </c>
      <c r="F4" t="inlineStr">
        <is>
          <t>用户 App</t>
        </is>
      </c>
      <c r="G4">
        <f>B5</f>
        <v/>
      </c>
    </row>
    <row r="5">
      <c r="A5" s="3" t="inlineStr">
        <is>
          <t>用户 App 功能点</t>
        </is>
      </c>
      <c r="B5" s="4">
        <f>COUNTA('功能清单'!D5:D41)</f>
        <v/>
      </c>
      <c r="F5" t="inlineStr">
        <is>
          <t>管理后台</t>
        </is>
      </c>
      <c r="G5">
        <f>B6</f>
        <v/>
      </c>
    </row>
    <row r="6">
      <c r="A6" s="3" t="inlineStr">
        <is>
          <t>管理后台功能点</t>
        </is>
      </c>
      <c r="B6" s="4">
        <f>COUNTA('功能清单'!D42:D107)</f>
        <v/>
      </c>
    </row>
    <row r="7">
      <c r="A7" s="3" t="inlineStr">
        <is>
          <t>已核验功能点</t>
        </is>
      </c>
      <c r="B7" s="4">
        <f>COUNTIF('功能清单'!E5:E107,"*已核验*")</f>
        <v/>
      </c>
    </row>
    <row r="8">
      <c r="A8" s="12" t="inlineStr">
        <is>
          <t>预计开发工时合计（人天）</t>
        </is>
      </c>
      <c r="B8" s="13">
        <f>SUM('功能清单'!G5:G107)</f>
        <v/>
      </c>
    </row>
    <row r="9">
      <c r="A9" s="12" t="inlineStr">
        <is>
          <t>用户 App 开发工时（人天）</t>
        </is>
      </c>
      <c r="B9" s="13">
        <f>SUM('功能清单'!G5:G41)</f>
        <v/>
      </c>
    </row>
    <row r="10">
      <c r="A10" s="12" t="inlineStr">
        <is>
          <t>管理后台开发工时（人天）</t>
        </is>
      </c>
      <c r="B10" s="13">
        <f>SUM('功能清单'!G42:G107)</f>
        <v/>
      </c>
    </row>
    <row r="11" ht="30" customHeight="1"/>
    <row r="12" ht="30" customHeight="1"/>
    <row r="13">
      <c r="A13" s="2" t="inlineStr">
        <is>
          <t>状态说明</t>
        </is>
      </c>
      <c r="B13" s="21" t="inlineStr">
        <is>
          <t>含义</t>
        </is>
      </c>
      <c r="C13" s="2" t="inlineStr">
        <is>
          <t>填充色</t>
        </is>
      </c>
      <c r="D13" s="2" t="inlineStr">
        <is>
          <t>核验方式</t>
        </is>
      </c>
    </row>
    <row r="14" ht="30" customHeight="1">
      <c r="A14" s="5" t="inlineStr">
        <is>
          <t>已实现（已核验）</t>
        </is>
      </c>
      <c r="B14" s="5" t="inlineStr">
        <is>
          <t>本次已直接进入或在页面中观察到</t>
        </is>
      </c>
      <c r="C14" s="6" t="inlineStr">
        <is>
          <t>绿色</t>
        </is>
      </c>
      <c r="D14" s="5" t="inlineStr">
        <is>
          <t>演示页面核验</t>
        </is>
      </c>
    </row>
    <row r="15" ht="30" customHeight="1">
      <c r="A15" s="5" t="inlineStr">
        <is>
          <t>已实现（菜单/路由已配置）</t>
        </is>
      </c>
      <c r="B15" s="5" t="inlineStr">
        <is>
          <t>前端菜单或页面路由已配置，未提交业务数据</t>
        </is>
      </c>
      <c r="C15" s="7" t="inlineStr">
        <is>
          <t>黄色</t>
        </is>
      </c>
      <c r="D15" s="5" t="inlineStr">
        <is>
          <t>菜单与路由核验</t>
        </is>
      </c>
    </row>
    <row r="17">
      <c r="A17" s="16" t="inlineStr">
        <is>
          <t>工时估算口径</t>
        </is>
      </c>
    </row>
    <row r="18" ht="38" customHeight="1">
      <c r="A18" s="17" t="inlineStr">
        <is>
          <t>单功能点工时覆盖前端页面、接口／数据处理、必要校验、权限接入与开发联调；不含专业测试、UI 设计、部署、第三方厂商接入与生产环境调优。</t>
        </is>
      </c>
    </row>
    <row r="19" ht="34" customHeight="1">
      <c r="A19" s="18" t="inlineStr">
        <is>
          <t>复杂度参考</t>
        </is>
      </c>
      <c r="B19" s="19" t="inlineStr">
        <is>
          <t>0.5：静态展示／跳转；1.0：单页查询或提交；1.5：列表、详情或聚合；2.0：CRUD／状态流转；2.5-3.0：动态表单、规则、跨模块流程或外部接口。</t>
        </is>
      </c>
    </row>
  </sheetData>
  <mergeCells count="3">
    <mergeCell ref="A1:D1"/>
    <mergeCell ref="A18:D18"/>
    <mergeCell ref="B19:D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10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4" customWidth="1" min="4" max="4"/>
    <col width="28" customWidth="1" min="5" max="5"/>
    <col width="45" customWidth="1" min="6" max="6"/>
    <col width="19" customWidth="1" min="7" max="7"/>
    <col width="52" customWidth="1" min="8" max="8"/>
  </cols>
  <sheetData>
    <row r="1" ht="28" customHeight="1">
      <c r="A1" s="1" t="inlineStr">
        <is>
          <t>LAVIDA 双端功能架构与实现现状清单</t>
        </is>
      </c>
    </row>
    <row r="2" ht="22" customHeight="1">
      <c r="A2" s="8" t="inlineStr">
        <is>
          <t>口径：每行对应一个可识别功能点；实现状态基于演示页面、菜单及路由核验。</t>
        </is>
      </c>
    </row>
    <row r="4" ht="28" customHeight="1">
      <c r="A4" s="9" t="inlineStr">
        <is>
          <t>产品端</t>
        </is>
      </c>
      <c r="B4" s="9" t="inlineStr">
        <is>
          <t>一级模块</t>
        </is>
      </c>
      <c r="C4" s="9" t="inlineStr">
        <is>
          <t>二级功能</t>
        </is>
      </c>
      <c r="D4" s="9" t="inlineStr">
        <is>
          <t>单个功能点</t>
        </is>
      </c>
      <c r="E4" s="9" t="inlineStr">
        <is>
          <t>当前实现情况</t>
        </is>
      </c>
      <c r="F4" s="9" t="inlineStr">
        <is>
          <t>功能介绍</t>
        </is>
      </c>
      <c r="G4" s="9" t="inlineStr">
        <is>
          <t>预计开发工时（人天）</t>
        </is>
      </c>
      <c r="H4" s="9" t="inlineStr">
        <is>
          <t>评估依据</t>
        </is>
      </c>
    </row>
    <row r="5" ht="32" customHeight="1">
      <c r="A5" s="22" t="inlineStr">
        <is>
          <t>用户 App</t>
        </is>
      </c>
      <c r="B5" s="10" t="inlineStr">
        <is>
          <t>首页与内容</t>
        </is>
      </c>
      <c r="C5" s="10" t="inlineStr">
        <is>
          <t>服务引导</t>
        </is>
      </c>
      <c r="D5" s="10" t="inlineStr">
        <is>
          <t>首页服务闭环展示</t>
        </is>
      </c>
      <c r="E5" s="11" t="inlineStr">
        <is>
          <t>已实现（已核验）</t>
        </is>
      </c>
      <c r="F5" s="10" t="inlineStr">
        <is>
          <t>展示测评、方案、下单与履约的个性化抗衰服务闭环。</t>
        </is>
      </c>
      <c r="G5" s="20" t="n">
        <v>1.5</v>
      </c>
      <c r="H5" s="10" t="inlineStr">
        <is>
          <t>首页聚合展示、服务状态查询与响应式布局。</t>
        </is>
      </c>
    </row>
    <row r="6" ht="32" customHeight="1">
      <c r="A6" s="23" t="n"/>
      <c r="B6" s="22" t="inlineStr">
        <is>
          <t>首页与内容</t>
        </is>
      </c>
      <c r="C6" s="10" t="inlineStr">
        <is>
          <t>服务引导</t>
        </is>
      </c>
      <c r="D6" s="10" t="inlineStr">
        <is>
          <t>智能测评快捷入口</t>
        </is>
      </c>
      <c r="E6" s="11" t="inlineStr">
        <is>
          <t>已实现（已核验）</t>
        </is>
      </c>
      <c r="F6" s="10" t="inlineStr">
        <is>
          <t>从首页直接发起新的智能测评。</t>
        </is>
      </c>
      <c r="G6" s="20" t="n">
        <v>0.5</v>
      </c>
      <c r="H6" s="10" t="inlineStr">
        <is>
          <t>静态入口配置与路由跳转。</t>
        </is>
      </c>
    </row>
    <row r="7" ht="32" customHeight="1">
      <c r="A7" s="23" t="n"/>
      <c r="B7" s="23" t="n"/>
      <c r="C7" s="22" t="inlineStr">
        <is>
          <t>服务引导</t>
        </is>
      </c>
      <c r="D7" s="10" t="inlineStr">
        <is>
          <t>历史方案快捷入口</t>
        </is>
      </c>
      <c r="E7" s="11" t="inlineStr">
        <is>
          <t>已实现（已核验）</t>
        </is>
      </c>
      <c r="F7" s="10" t="inlineStr">
        <is>
          <t>从首页进入已生成方案的查看入口。</t>
        </is>
      </c>
      <c r="G7" s="20" t="n">
        <v>0.5</v>
      </c>
      <c r="H7" s="10" t="inlineStr">
        <is>
          <t>静态入口配置与路由跳转。</t>
        </is>
      </c>
    </row>
    <row r="8" ht="32" customHeight="1">
      <c r="A8" s="23" t="n"/>
      <c r="B8" s="23" t="n"/>
      <c r="C8" s="23" t="n"/>
      <c r="D8" s="10" t="inlineStr">
        <is>
          <t>我的订单快捷入口</t>
        </is>
      </c>
      <c r="E8" s="11" t="inlineStr">
        <is>
          <t>已实现（已核验）</t>
        </is>
      </c>
      <c r="F8" s="10" t="inlineStr">
        <is>
          <t>从首页进入订单状态跟踪入口。</t>
        </is>
      </c>
      <c r="G8" s="20" t="n">
        <v>0.5</v>
      </c>
      <c r="H8" s="10" t="inlineStr">
        <is>
          <t>静态入口配置与路由跳转。</t>
        </is>
      </c>
    </row>
    <row r="9" ht="32" customHeight="1">
      <c r="A9" s="23" t="n"/>
      <c r="B9" s="23" t="n"/>
      <c r="C9" s="22" t="inlineStr">
        <is>
          <t>健康资讯</t>
        </is>
      </c>
      <c r="D9" s="10" t="inlineStr">
        <is>
          <t>资讯列表</t>
        </is>
      </c>
      <c r="E9" s="11" t="inlineStr">
        <is>
          <t>已实现（页面路由已配置）</t>
        </is>
      </c>
      <c r="F9" s="10" t="inlineStr">
        <is>
          <t>汇总测评、下单和方案解读等健康服务内容。</t>
        </is>
      </c>
      <c r="G9" s="20" t="n">
        <v>1.5</v>
      </c>
      <c r="H9" s="10" t="inlineStr">
        <is>
          <t>列表查询、分页加载和内容卡片展示。</t>
        </is>
      </c>
    </row>
    <row r="10" ht="32" customHeight="1">
      <c r="A10" s="23" t="n"/>
      <c r="B10" s="23" t="n"/>
      <c r="C10" s="23" t="n"/>
      <c r="D10" s="10" t="inlineStr">
        <is>
          <t>资讯详情</t>
        </is>
      </c>
      <c r="E10" s="11" t="inlineStr">
        <is>
          <t>已实现（页面路由已配置）</t>
        </is>
      </c>
      <c r="F10" s="10" t="inlineStr">
        <is>
          <t>查看单篇健康资讯的完整内容。</t>
        </is>
      </c>
      <c r="G10" s="20" t="n">
        <v>1</v>
      </c>
      <c r="H10" s="10" t="inlineStr">
        <is>
          <t>详情查询与富文本内容展示。</t>
        </is>
      </c>
    </row>
    <row r="11" ht="32" customHeight="1">
      <c r="A11" s="23" t="n"/>
      <c r="B11" s="23" t="n"/>
      <c r="C11" s="22" t="inlineStr">
        <is>
          <t>服务说明</t>
        </is>
      </c>
      <c r="D11" s="10" t="inlineStr">
        <is>
          <t>测评说明</t>
        </is>
      </c>
      <c r="E11" s="11" t="inlineStr">
        <is>
          <t>已实现（已核验）</t>
        </is>
      </c>
      <c r="F11" s="10" t="inlineStr">
        <is>
          <t>说明测评资料与补充资料的使用方式。</t>
        </is>
      </c>
      <c r="G11" s="20" t="n">
        <v>0.5</v>
      </c>
      <c r="H11" s="10" t="inlineStr">
        <is>
          <t>静态说明内容配置与展示。</t>
        </is>
      </c>
    </row>
    <row r="12" ht="32" customHeight="1">
      <c r="A12" s="23" t="n"/>
      <c r="B12" s="23" t="n"/>
      <c r="C12" s="23" t="n"/>
      <c r="D12" s="10" t="inlineStr">
        <is>
          <t>下单说明</t>
        </is>
      </c>
      <c r="E12" s="11" t="inlineStr">
        <is>
          <t>已实现（已核验）</t>
        </is>
      </c>
      <c r="F12" s="10" t="inlineStr">
        <is>
          <t>说明定金支付后进入财务、生产与履约链路。</t>
        </is>
      </c>
      <c r="G12" s="20" t="n">
        <v>0.5</v>
      </c>
      <c r="H12" s="10" t="inlineStr">
        <is>
          <t>静态说明内容配置与展示。</t>
        </is>
      </c>
    </row>
    <row r="13" ht="32" customHeight="1">
      <c r="A13" s="23" t="n"/>
      <c r="B13" s="23" t="n"/>
      <c r="C13" s="23" t="n"/>
      <c r="D13" s="10" t="inlineStr">
        <is>
          <t>方案解读</t>
        </is>
      </c>
      <c r="E13" s="11" t="inlineStr">
        <is>
          <t>已实现（已核验）</t>
        </is>
      </c>
      <c r="F13" s="10" t="inlineStr">
        <is>
          <t>说明原料配比、功效、服用周期和调整建议。</t>
        </is>
      </c>
      <c r="G13" s="20" t="n">
        <v>0.5</v>
      </c>
      <c r="H13" s="10" t="inlineStr">
        <is>
          <t>静态说明内容配置与展示。</t>
        </is>
      </c>
    </row>
    <row r="14" ht="32" customHeight="1">
      <c r="A14" s="23" t="n"/>
      <c r="B14" s="22" t="inlineStr">
        <is>
          <t>智能测评</t>
        </is>
      </c>
      <c r="C14" s="10" t="inlineStr">
        <is>
          <t>测评引导</t>
        </is>
      </c>
      <c r="D14" s="10" t="inlineStr">
        <is>
          <t>测评引导页</t>
        </is>
      </c>
      <c r="E14" s="11" t="inlineStr">
        <is>
          <t>已实现（页面路由已配置）</t>
        </is>
      </c>
      <c r="F14" s="10" t="inlineStr">
        <is>
          <t>在正式答题前说明测评流程和注意事项。</t>
        </is>
      </c>
      <c r="G14" s="20" t="n">
        <v>0.5</v>
      </c>
      <c r="H14" s="10" t="inlineStr">
        <is>
          <t>流程引导页面与开始测评跳转。</t>
        </is>
      </c>
    </row>
    <row r="15" ht="32" customHeight="1">
      <c r="A15" s="23" t="n"/>
      <c r="B15" s="23" t="n"/>
      <c r="C15" s="10" t="inlineStr">
        <is>
          <t>测评引导</t>
        </is>
      </c>
      <c r="D15" s="10" t="inlineStr">
        <is>
          <t>信息授权说明</t>
        </is>
      </c>
      <c r="E15" s="11" t="inlineStr">
        <is>
          <t>已实现（页面路由已配置）</t>
        </is>
      </c>
      <c r="F15" s="10" t="inlineStr">
        <is>
          <t>展示用户信息使用与授权相关内容。</t>
        </is>
      </c>
      <c r="G15" s="20" t="n">
        <v>0.5</v>
      </c>
      <c r="H15" s="10" t="inlineStr">
        <is>
          <t>授权说明展示与确认状态处理。</t>
        </is>
      </c>
    </row>
    <row r="16" ht="32" customHeight="1">
      <c r="A16" s="23" t="n"/>
      <c r="B16" s="23" t="n"/>
      <c r="C16" s="22" t="inlineStr">
        <is>
          <t>问卷采集</t>
        </is>
      </c>
      <c r="D16" s="10" t="inlineStr">
        <is>
          <t>测评问卷作答</t>
        </is>
      </c>
      <c r="E16" s="11" t="inlineStr">
        <is>
          <t>已实现（页面路由已配置）</t>
        </is>
      </c>
      <c r="F16" s="10" t="inlineStr">
        <is>
          <t>按题目采集用户的基础健康与服务需求信息。</t>
        </is>
      </c>
      <c r="G16" s="20" t="n">
        <v>2.5</v>
      </c>
      <c r="H16" s="10" t="inlineStr">
        <is>
          <t>动态题目渲染、答案校验、进度保存与提交前校验。</t>
        </is>
      </c>
    </row>
    <row r="17" ht="32" customHeight="1">
      <c r="A17" s="23" t="n"/>
      <c r="B17" s="23" t="n"/>
      <c r="C17" s="23" t="n"/>
      <c r="D17" s="10" t="inlineStr">
        <is>
          <t>测评提交</t>
        </is>
      </c>
      <c r="E17" s="11" t="inlineStr">
        <is>
          <t>已实现（页面路由已配置）</t>
        </is>
      </c>
      <c r="F17" s="10" t="inlineStr">
        <is>
          <t>提交问卷数据，触发后续方案生成链路。</t>
        </is>
      </c>
      <c r="G17" s="20" t="n">
        <v>1</v>
      </c>
      <c r="H17" s="10" t="inlineStr">
        <is>
          <t>问卷数据提交、错误反馈与状态变更。</t>
        </is>
      </c>
    </row>
    <row r="18" ht="32" customHeight="1">
      <c r="A18" s="23" t="n"/>
      <c r="B18" s="23" t="n"/>
      <c r="C18" s="10" t="inlineStr">
        <is>
          <t>资料补充</t>
        </is>
      </c>
      <c r="D18" s="10" t="inlineStr">
        <is>
          <t>检测／体检资料上传</t>
        </is>
      </c>
      <c r="E18" s="11" t="inlineStr">
        <is>
          <t>已实现（页面路由已配置）</t>
        </is>
      </c>
      <c r="F18" s="10" t="inlineStr">
        <is>
          <t>上传体检报告或检测结果，为方案细化提供输入。</t>
        </is>
      </c>
      <c r="G18" s="20" t="n">
        <v>1.5</v>
      </c>
      <c r="H18" s="10" t="inlineStr">
        <is>
          <t>文件上传、格式／数量校验、附件关联与预览信息。</t>
        </is>
      </c>
    </row>
    <row r="19" ht="32" customHeight="1">
      <c r="A19" s="23" t="n"/>
      <c r="B19" s="23" t="n"/>
      <c r="C19" s="22" t="inlineStr">
        <is>
          <t>提交与生成</t>
        </is>
      </c>
      <c r="D19" s="10" t="inlineStr">
        <is>
          <t>提交成功反馈</t>
        </is>
      </c>
      <c r="E19" s="11" t="inlineStr">
        <is>
          <t>已实现（页面路由已配置）</t>
        </is>
      </c>
      <c r="F19" s="10" t="inlineStr">
        <is>
          <t>在测评提交后提示用户提交结果。</t>
        </is>
      </c>
      <c r="G19" s="20" t="n">
        <v>0.5</v>
      </c>
      <c r="H19" s="10" t="inlineStr">
        <is>
          <t>提交结果页与后续动作引导。</t>
        </is>
      </c>
    </row>
    <row r="20" ht="32" customHeight="1">
      <c r="A20" s="23" t="n"/>
      <c r="B20" s="23" t="n"/>
      <c r="C20" s="23" t="n"/>
      <c r="D20" s="10" t="inlineStr">
        <is>
          <t>方案生成中状态</t>
        </is>
      </c>
      <c r="E20" s="11" t="inlineStr">
        <is>
          <t>已实现（页面路由已配置）</t>
        </is>
      </c>
      <c r="F20" s="10" t="inlineStr">
        <is>
          <t>展示个性化方案正在生成的过程状态。</t>
        </is>
      </c>
      <c r="G20" s="20" t="n">
        <v>1</v>
      </c>
      <c r="H20" s="10" t="inlineStr">
        <is>
          <t>异步任务状态查询与加载状态展示。</t>
        </is>
      </c>
    </row>
    <row r="21" ht="32" customHeight="1">
      <c r="A21" s="23" t="n"/>
      <c r="B21" s="22" t="inlineStr">
        <is>
          <t>方案中心</t>
        </is>
      </c>
      <c r="C21" s="10" t="inlineStr">
        <is>
          <t>方案查看</t>
        </is>
      </c>
      <c r="D21" s="10" t="inlineStr">
        <is>
          <t>方案结果页</t>
        </is>
      </c>
      <c r="E21" s="11" t="inlineStr">
        <is>
          <t>已实现（页面路由已配置）</t>
        </is>
      </c>
      <c r="F21" s="10" t="inlineStr">
        <is>
          <t>展示测评生成后的个性化方案结果。</t>
        </is>
      </c>
      <c r="G21" s="20" t="n">
        <v>1.5</v>
      </c>
      <c r="H21" s="10" t="inlineStr">
        <is>
          <t>方案结果聚合、结构化内容及状态展示。</t>
        </is>
      </c>
    </row>
    <row r="22" ht="32" customHeight="1">
      <c r="A22" s="23" t="n"/>
      <c r="B22" s="23" t="n"/>
      <c r="C22" s="10" t="inlineStr">
        <is>
          <t>方案查看</t>
        </is>
      </c>
      <c r="D22" s="10" t="inlineStr">
        <is>
          <t>方案详情</t>
        </is>
      </c>
      <c r="E22" s="11" t="inlineStr">
        <is>
          <t>已实现（页面路由已配置）</t>
        </is>
      </c>
      <c r="F22" s="10" t="inlineStr">
        <is>
          <t>查看方案构成、使用建议和相关说明。</t>
        </is>
      </c>
      <c r="G22" s="20" t="n">
        <v>1.5</v>
      </c>
      <c r="H22" s="10" t="inlineStr">
        <is>
          <t>方案输入、结果及关联业务信息聚合。</t>
        </is>
      </c>
    </row>
    <row r="23" ht="32" customHeight="1">
      <c r="A23" s="23" t="n"/>
      <c r="B23" s="23" t="n"/>
      <c r="C23" s="22" t="inlineStr">
        <is>
          <t>方案资产</t>
        </is>
      </c>
      <c r="D23" s="10" t="inlineStr">
        <is>
          <t>历史方案列表</t>
        </is>
      </c>
      <c r="E23" s="11" t="inlineStr">
        <is>
          <t>已实现（页面路由已配置）</t>
        </is>
      </c>
      <c r="F23" s="10" t="inlineStr">
        <is>
          <t>汇总用户已生成的历史方案。</t>
        </is>
      </c>
      <c r="G23" s="20" t="n">
        <v>1</v>
      </c>
      <c r="H23" s="10" t="inlineStr">
        <is>
          <t>历史数据查询、分页及空态处理。</t>
        </is>
      </c>
    </row>
    <row r="24" ht="32" customHeight="1">
      <c r="A24" s="23" t="n"/>
      <c r="B24" s="23" t="n"/>
      <c r="C24" s="23" t="n"/>
      <c r="D24" s="10" t="inlineStr">
        <is>
          <t>历史方案详情</t>
        </is>
      </c>
      <c r="E24" s="11" t="inlineStr">
        <is>
          <t>已实现（页面路由已配置）</t>
        </is>
      </c>
      <c r="F24" s="10" t="inlineStr">
        <is>
          <t>回溯指定历史方案的具体内容。</t>
        </is>
      </c>
      <c r="G24" s="20" t="n">
        <v>1</v>
      </c>
      <c r="H24" s="10" t="inlineStr">
        <is>
          <t>历史方案详情查询与展示。</t>
        </is>
      </c>
    </row>
    <row r="25" ht="32" customHeight="1">
      <c r="A25" s="23" t="n"/>
      <c r="B25" s="22" t="inlineStr">
        <is>
          <t>订单与支付</t>
        </is>
      </c>
      <c r="C25" s="10" t="inlineStr">
        <is>
          <t>订单创建</t>
        </is>
      </c>
      <c r="D25" s="10" t="inlineStr">
        <is>
          <t>订单确认</t>
        </is>
      </c>
      <c r="E25" s="11" t="inlineStr">
        <is>
          <t>已实现（页面路由已配置）</t>
        </is>
      </c>
      <c r="F25" s="10" t="inlineStr">
        <is>
          <t>基于选定方案确认订单信息。</t>
        </is>
      </c>
      <c r="G25" s="20" t="n">
        <v>1.5</v>
      </c>
      <c r="H25" s="10" t="inlineStr">
        <is>
          <t>订单确认信息汇总、字段校验与建单预处理。</t>
        </is>
      </c>
    </row>
    <row r="26" ht="32" customHeight="1">
      <c r="A26" s="23" t="n"/>
      <c r="B26" s="23" t="n"/>
      <c r="C26" s="10" t="inlineStr">
        <is>
          <t>订单创建</t>
        </is>
      </c>
      <c r="D26" s="10" t="inlineStr">
        <is>
          <t>实名信息填写</t>
        </is>
      </c>
      <c r="E26" s="11" t="inlineStr">
        <is>
          <t>已实现（页面路由已配置）</t>
        </is>
      </c>
      <c r="F26" s="10" t="inlineStr">
        <is>
          <t>补充订单履约所需的实名信息。</t>
        </is>
      </c>
      <c r="G26" s="20" t="n">
        <v>1</v>
      </c>
      <c r="H26" s="10" t="inlineStr">
        <is>
          <t>实名字段录入、校验和安全提交。</t>
        </is>
      </c>
    </row>
    <row r="27" ht="32" customHeight="1">
      <c r="A27" s="23" t="n"/>
      <c r="B27" s="23" t="n"/>
      <c r="C27" s="22" t="inlineStr">
        <is>
          <t>定金支付</t>
        </is>
      </c>
      <c r="D27" s="10" t="inlineStr">
        <is>
          <t>定金支付发起</t>
        </is>
      </c>
      <c r="E27" s="11" t="inlineStr">
        <is>
          <t>已实现（页面路由已配置）</t>
        </is>
      </c>
      <c r="F27" s="10" t="inlineStr">
        <is>
          <t>对订单发起定金支付流程。</t>
        </is>
      </c>
      <c r="G27" s="20" t="n">
        <v>2.5</v>
      </c>
      <c r="H27" s="10" t="inlineStr">
        <is>
          <t>支付单创建、支付渠道调起及订单状态联动；不含渠道厂商接入。</t>
        </is>
      </c>
    </row>
    <row r="28" ht="32" customHeight="1">
      <c r="A28" s="23" t="n"/>
      <c r="B28" s="23" t="n"/>
      <c r="C28" s="23" t="n"/>
      <c r="D28" s="10" t="inlineStr">
        <is>
          <t>支付结果反馈</t>
        </is>
      </c>
      <c r="E28" s="11" t="inlineStr">
        <is>
          <t>已实现（页面路由已配置）</t>
        </is>
      </c>
      <c r="F28" s="10" t="inlineStr">
        <is>
          <t>展示支付成功、失败或处理中结果。</t>
        </is>
      </c>
      <c r="G28" s="20" t="n">
        <v>0.5</v>
      </c>
      <c r="H28" s="10" t="inlineStr">
        <is>
          <t>支付结果查询、提示和订单跳转。</t>
        </is>
      </c>
    </row>
    <row r="29" ht="32" customHeight="1">
      <c r="A29" s="23" t="n"/>
      <c r="B29" s="23" t="n"/>
      <c r="C29" s="22" t="inlineStr">
        <is>
          <t>订单追踪</t>
        </is>
      </c>
      <c r="D29" s="10" t="inlineStr">
        <is>
          <t>订单列表</t>
        </is>
      </c>
      <c r="E29" s="11" t="inlineStr">
        <is>
          <t>已实现（页面路由已配置）</t>
        </is>
      </c>
      <c r="F29" s="10" t="inlineStr">
        <is>
          <t>查看用户全部订单及其当前状态。</t>
        </is>
      </c>
      <c r="G29" s="20" t="n">
        <v>1.5</v>
      </c>
      <c r="H29" s="10" t="inlineStr">
        <is>
          <t>订单查询、状态筛选、分页和范围控制。</t>
        </is>
      </c>
    </row>
    <row r="30" ht="32" customHeight="1">
      <c r="A30" s="23" t="n"/>
      <c r="B30" s="23" t="n"/>
      <c r="C30" s="23" t="n"/>
      <c r="D30" s="10" t="inlineStr">
        <is>
          <t>订单详情</t>
        </is>
      </c>
      <c r="E30" s="11" t="inlineStr">
        <is>
          <t>已实现（页面路由已配置）</t>
        </is>
      </c>
      <c r="F30" s="10" t="inlineStr">
        <is>
          <t>查看单笔订单的方案、支付和履约信息。</t>
        </is>
      </c>
      <c r="G30" s="20" t="n">
        <v>1.5</v>
      </c>
      <c r="H30" s="10" t="inlineStr">
        <is>
          <t>订单明细、支付、方案与履约信息聚合。</t>
        </is>
      </c>
    </row>
    <row r="31" ht="32" customHeight="1">
      <c r="A31" s="23" t="n"/>
      <c r="B31" s="23" t="n"/>
      <c r="C31" s="23" t="n"/>
      <c r="D31" s="10" t="inlineStr">
        <is>
          <t>物流查询</t>
        </is>
      </c>
      <c r="E31" s="11" t="inlineStr">
        <is>
          <t>已实现（页面路由已配置）</t>
        </is>
      </c>
      <c r="F31" s="10" t="inlineStr">
        <is>
          <t>查看订单相关物流或配送信息。</t>
        </is>
      </c>
      <c r="G31" s="20" t="n">
        <v>1</v>
      </c>
      <c r="H31" s="10" t="inlineStr">
        <is>
          <t>物流节点查询与时间线展示；不含物流厂商接入。</t>
        </is>
      </c>
    </row>
    <row r="32" ht="32" customHeight="1">
      <c r="A32" s="23" t="n"/>
      <c r="B32" s="23" t="n"/>
      <c r="C32" s="10" t="inlineStr">
        <is>
          <t>跨境服务</t>
        </is>
      </c>
      <c r="D32" s="10" t="inlineStr">
        <is>
          <t>跨境订单</t>
        </is>
      </c>
      <c r="E32" s="11" t="inlineStr">
        <is>
          <t>已实现（页面路由已配置）</t>
        </is>
      </c>
      <c r="F32" s="10" t="inlineStr">
        <is>
          <t>承载跨境订单的专属信息展示与查询。</t>
        </is>
      </c>
      <c r="G32" s="20" t="n">
        <v>1.5</v>
      </c>
      <c r="H32" s="10" t="inlineStr">
        <is>
          <t>跨境订单字段、状态适配与详情展示。</t>
        </is>
      </c>
    </row>
    <row r="33" ht="32" customHeight="1">
      <c r="A33" s="23" t="n"/>
      <c r="B33" s="22" t="inlineStr">
        <is>
          <t>个人中心</t>
        </is>
      </c>
      <c r="C33" s="10" t="inlineStr">
        <is>
          <t>个人资产</t>
        </is>
      </c>
      <c r="D33" s="10" t="inlineStr">
        <is>
          <t>当前方案</t>
        </is>
      </c>
      <c r="E33" s="11" t="inlineStr">
        <is>
          <t>已实现（已核验）</t>
        </is>
      </c>
      <c r="F33" s="10" t="inlineStr">
        <is>
          <t>展示当前生效或最新生成的方案。</t>
        </is>
      </c>
      <c r="G33" s="20" t="n">
        <v>0.5</v>
      </c>
      <c r="H33" s="10" t="inlineStr">
        <is>
          <t>当前方案状态查询与摘要展示。</t>
        </is>
      </c>
    </row>
    <row r="34" ht="32" customHeight="1">
      <c r="A34" s="23" t="n"/>
      <c r="B34" s="23" t="n"/>
      <c r="C34" s="22" t="inlineStr">
        <is>
          <t>个人资产</t>
        </is>
      </c>
      <c r="D34" s="10" t="inlineStr">
        <is>
          <t>当前订单</t>
        </is>
      </c>
      <c r="E34" s="11" t="inlineStr">
        <is>
          <t>已实现（已核验）</t>
        </is>
      </c>
      <c r="F34" s="10" t="inlineStr">
        <is>
          <t>展示当前订单及审核等最新状态。</t>
        </is>
      </c>
      <c r="G34" s="20" t="n">
        <v>0.5</v>
      </c>
      <c r="H34" s="10" t="inlineStr">
        <is>
          <t>当前订单状态查询与摘要展示。</t>
        </is>
      </c>
    </row>
    <row r="35" ht="32" customHeight="1">
      <c r="A35" s="23" t="n"/>
      <c r="B35" s="23" t="n"/>
      <c r="C35" s="23" t="n"/>
      <c r="D35" s="10" t="inlineStr">
        <is>
          <t>历史测评</t>
        </is>
      </c>
      <c r="E35" s="11" t="inlineStr">
        <is>
          <t>已实现（已核验）</t>
        </is>
      </c>
      <c r="F35" s="10" t="inlineStr">
        <is>
          <t>查询用户已完成的历史测评记录。</t>
        </is>
      </c>
      <c r="G35" s="20" t="n">
        <v>1</v>
      </c>
      <c r="H35" s="10" t="inlineStr">
        <is>
          <t>历史测评列表查询与状态展示。</t>
        </is>
      </c>
    </row>
    <row r="36" ht="32" customHeight="1">
      <c r="A36" s="23" t="n"/>
      <c r="B36" s="23" t="n"/>
      <c r="C36" s="23" t="n"/>
      <c r="D36" s="10" t="inlineStr">
        <is>
          <t>历史订单</t>
        </is>
      </c>
      <c r="E36" s="11" t="inlineStr">
        <is>
          <t>已实现（已核验）</t>
        </is>
      </c>
      <c r="F36" s="10" t="inlineStr">
        <is>
          <t>查询用户历史下单和履约记录。</t>
        </is>
      </c>
      <c r="G36" s="20" t="n">
        <v>1</v>
      </c>
      <c r="H36" s="10" t="inlineStr">
        <is>
          <t>历史订单列表查询与状态展示。</t>
        </is>
      </c>
    </row>
    <row r="37" ht="32" customHeight="1">
      <c r="A37" s="23" t="n"/>
      <c r="B37" s="23" t="n"/>
      <c r="C37" s="10" t="inlineStr">
        <is>
          <t>个人资料</t>
        </is>
      </c>
      <c r="D37" s="10" t="inlineStr">
        <is>
          <t>个人信息</t>
        </is>
      </c>
      <c r="E37" s="11" t="inlineStr">
        <is>
          <t>已实现（页面路由已配置）</t>
        </is>
      </c>
      <c r="F37" s="10" t="inlineStr">
        <is>
          <t>查看或维护用户基础资料。</t>
        </is>
      </c>
      <c r="G37" s="20" t="n">
        <v>1</v>
      </c>
      <c r="H37" s="10" t="inlineStr">
        <is>
          <t>个人资料查询、编辑与字段校验。</t>
        </is>
      </c>
    </row>
    <row r="38" ht="32" customHeight="1">
      <c r="A38" s="23" t="n"/>
      <c r="B38" s="23" t="n"/>
      <c r="C38" s="22" t="inlineStr">
        <is>
          <t>消息通知</t>
        </is>
      </c>
      <c r="D38" s="10" t="inlineStr">
        <is>
          <t>消息列表</t>
        </is>
      </c>
      <c r="E38" s="11" t="inlineStr">
        <is>
          <t>已实现（页面路由已配置）</t>
        </is>
      </c>
      <c r="F38" s="10" t="inlineStr">
        <is>
          <t>汇总方案、订单、履约与服务提醒。</t>
        </is>
      </c>
      <c r="G38" s="20" t="n">
        <v>1</v>
      </c>
      <c r="H38" s="10" t="inlineStr">
        <is>
          <t>站内消息查询、分类与已读状态展示。</t>
        </is>
      </c>
    </row>
    <row r="39" ht="32" customHeight="1">
      <c r="A39" s="23" t="n"/>
      <c r="B39" s="23" t="n"/>
      <c r="C39" s="23" t="n"/>
      <c r="D39" s="10" t="inlineStr">
        <is>
          <t>消息详情</t>
        </is>
      </c>
      <c r="E39" s="11" t="inlineStr">
        <is>
          <t>已实现（页面路由已配置）</t>
        </is>
      </c>
      <c r="F39" s="10" t="inlineStr">
        <is>
          <t>查看单条站内通知的完整内容。</t>
        </is>
      </c>
      <c r="G39" s="20" t="n">
        <v>0.5</v>
      </c>
      <c r="H39" s="10" t="inlineStr">
        <is>
          <t>单条消息查询与阅读状态回写。</t>
        </is>
      </c>
    </row>
    <row r="40" ht="32" customHeight="1">
      <c r="A40" s="23" t="n"/>
      <c r="B40" s="23" t="n"/>
      <c r="C40" s="22" t="inlineStr">
        <is>
          <t>设置与合规</t>
        </is>
      </c>
      <c r="D40" s="10" t="inlineStr">
        <is>
          <t>设置</t>
        </is>
      </c>
      <c r="E40" s="11" t="inlineStr">
        <is>
          <t>已实现（页面路由已配置）</t>
        </is>
      </c>
      <c r="F40" s="10" t="inlineStr">
        <is>
          <t>提供用户侧基础设置入口。</t>
        </is>
      </c>
      <c r="G40" s="20" t="n">
        <v>0.5</v>
      </c>
      <c r="H40" s="10" t="inlineStr">
        <is>
          <t>基础设置项展示与保存。</t>
        </is>
      </c>
    </row>
    <row r="41" ht="32" customHeight="1">
      <c r="A41" s="23" t="n"/>
      <c r="B41" s="23" t="n"/>
      <c r="C41" s="23" t="n"/>
      <c r="D41" s="10" t="inlineStr">
        <is>
          <t>隐私政策</t>
        </is>
      </c>
      <c r="E41" s="11" t="inlineStr">
        <is>
          <t>已实现（页面路由已配置）</t>
        </is>
      </c>
      <c r="F41" s="10" t="inlineStr">
        <is>
          <t>向用户展示隐私政策内容。</t>
        </is>
      </c>
      <c r="G41" s="20" t="n">
        <v>0.5</v>
      </c>
      <c r="H41" s="10" t="inlineStr">
        <is>
          <t>静态合规内容展示。</t>
        </is>
      </c>
    </row>
    <row r="42" ht="32" customHeight="1">
      <c r="A42" s="22" t="inlineStr">
        <is>
          <t>管理后台</t>
        </is>
      </c>
      <c r="B42" s="10" t="inlineStr">
        <is>
          <t>首页</t>
        </is>
      </c>
      <c r="C42" s="10" t="inlineStr">
        <is>
          <t>经营看板</t>
        </is>
      </c>
      <c r="D42" s="10" t="inlineStr">
        <is>
          <t>关键业务指标</t>
        </is>
      </c>
      <c r="E42" s="11" t="inlineStr">
        <is>
          <t>已实现（已核验）</t>
        </is>
      </c>
      <c r="F42" s="10" t="inlineStr">
        <is>
          <t>展示新增测评、待确认方案、待审核订单、待排产任务和低库存 SKU 等指标。</t>
        </is>
      </c>
      <c r="G42" s="20" t="n">
        <v>3</v>
      </c>
      <c r="H42" s="10" t="inlineStr">
        <is>
          <t>多业务域指标聚合、权限范围过滤与刷新机制。</t>
        </is>
      </c>
    </row>
    <row r="43" ht="32" customHeight="1">
      <c r="A43" s="23" t="n"/>
      <c r="B43" s="22" t="inlineStr">
        <is>
          <t>首页</t>
        </is>
      </c>
      <c r="C43" s="10" t="inlineStr">
        <is>
          <t>风险与待办</t>
        </is>
      </c>
      <c r="D43" s="10" t="inlineStr">
        <is>
          <t>风险告警</t>
        </is>
      </c>
      <c r="E43" s="11" t="inlineStr">
        <is>
          <t>已实现（已核验）</t>
        </is>
      </c>
      <c r="F43" s="10" t="inlineStr">
        <is>
          <t>聚合 SKU 校验、库存断货、补料和设备异常等风险。</t>
        </is>
      </c>
      <c r="G43" s="20" t="n">
        <v>2</v>
      </c>
      <c r="H43" s="10" t="inlineStr">
        <is>
          <t>多来源风险规则聚合、优先级排序和待处理展示。</t>
        </is>
      </c>
    </row>
    <row r="44" ht="32" customHeight="1">
      <c r="A44" s="23" t="n"/>
      <c r="B44" s="23" t="n"/>
      <c r="C44" s="10" t="inlineStr">
        <is>
          <t>风险与待办</t>
        </is>
      </c>
      <c r="D44" s="10" t="inlineStr">
        <is>
          <t>角色待办</t>
        </is>
      </c>
      <c r="E44" s="11" t="inlineStr">
        <is>
          <t>已实现（已核验）</t>
        </is>
      </c>
      <c r="F44" s="10" t="inlineStr">
        <is>
          <t>按顾问、财务、生产、加盟运营等责任角色展示待办。</t>
        </is>
      </c>
      <c r="G44" s="20" t="n">
        <v>1.5</v>
      </c>
      <c r="H44" s="10" t="inlineStr">
        <is>
          <t>按角色汇总待办、责任人及时间信息。</t>
        </is>
      </c>
    </row>
    <row r="45" ht="32" customHeight="1">
      <c r="A45" s="23" t="n"/>
      <c r="B45" s="23" t="n"/>
      <c r="C45" s="10" t="inlineStr">
        <is>
          <t>快捷入口</t>
        </is>
      </c>
      <c r="D45" s="10" t="inlineStr">
        <is>
          <t>新增客户／代录测评／新建订单／SKU 台账</t>
        </is>
      </c>
      <c r="E45" s="11" t="inlineStr">
        <is>
          <t>已实现（已核验）</t>
        </is>
      </c>
      <c r="F45" s="10" t="inlineStr">
        <is>
          <t>为高频业务动作提供快捷进入路径。</t>
        </is>
      </c>
      <c r="G45" s="20" t="n">
        <v>1</v>
      </c>
      <c r="H45" s="10" t="inlineStr">
        <is>
          <t>高频入口配置、权限控制与跨模块跳转。</t>
        </is>
      </c>
    </row>
    <row r="46" ht="32" customHeight="1">
      <c r="A46" s="23" t="n"/>
      <c r="B46" s="22" t="inlineStr">
        <is>
          <t>客户中心</t>
        </is>
      </c>
      <c r="C46" s="10" t="inlineStr">
        <is>
          <t>客户档案</t>
        </is>
      </c>
      <c r="D46" s="10" t="inlineStr">
        <is>
          <t>客户列表</t>
        </is>
      </c>
      <c r="E46" s="11" t="inlineStr">
        <is>
          <t>已实现（菜单/路由已配置）</t>
        </is>
      </c>
      <c r="F46" s="10" t="inlineStr">
        <is>
          <t>分页查询和筛选客户档案。</t>
        </is>
      </c>
      <c r="G46" s="20" t="n">
        <v>1.5</v>
      </c>
      <c r="H46" s="10" t="inlineStr">
        <is>
          <t>客户查询、筛选、分页和基础权限范围控制。</t>
        </is>
      </c>
    </row>
    <row r="47" ht="32" customHeight="1">
      <c r="A47" s="23" t="n"/>
      <c r="B47" s="23" t="n"/>
      <c r="C47" s="22" t="inlineStr">
        <is>
          <t>客户档案</t>
        </is>
      </c>
      <c r="D47" s="10" t="inlineStr">
        <is>
          <t>客户详情</t>
        </is>
      </c>
      <c r="E47" s="11" t="inlineStr">
        <is>
          <t>已实现（菜单/路由已配置）</t>
        </is>
      </c>
      <c r="F47" s="10" t="inlineStr">
        <is>
          <t>聚合查看客户基本资料及服务信息。</t>
        </is>
      </c>
      <c r="G47" s="20" t="n">
        <v>1.5</v>
      </c>
      <c r="H47" s="10" t="inlineStr">
        <is>
          <t>客户档案、测评、方案与订单信息聚合。</t>
        </is>
      </c>
    </row>
    <row r="48" ht="32" customHeight="1">
      <c r="A48" s="23" t="n"/>
      <c r="B48" s="23" t="n"/>
      <c r="C48" s="23" t="n"/>
      <c r="D48" s="10" t="inlineStr">
        <is>
          <t>客户编辑</t>
        </is>
      </c>
      <c r="E48" s="11" t="inlineStr">
        <is>
          <t>已实现（菜单/路由已配置）</t>
        </is>
      </c>
      <c r="F48" s="10" t="inlineStr">
        <is>
          <t>新增或维护客户档案。</t>
        </is>
      </c>
      <c r="G48" s="20" t="n">
        <v>1.5</v>
      </c>
      <c r="H48" s="10" t="inlineStr">
        <is>
          <t>客户新增／编辑表单、校验和保存。</t>
        </is>
      </c>
    </row>
    <row r="49" ht="32" customHeight="1">
      <c r="A49" s="23" t="n"/>
      <c r="B49" s="23" t="n"/>
      <c r="C49" s="10" t="inlineStr">
        <is>
          <t>服务跟进</t>
        </is>
      </c>
      <c r="D49" s="10" t="inlineStr">
        <is>
          <t>跟进与复测</t>
        </is>
      </c>
      <c r="E49" s="11" t="inlineStr">
        <is>
          <t>已实现（菜单/路由已配置）</t>
        </is>
      </c>
      <c r="F49" s="10" t="inlineStr">
        <is>
          <t>记录顾问跟进并安排后续复测。</t>
        </is>
      </c>
      <c r="G49" s="20" t="n">
        <v>2</v>
      </c>
      <c r="H49" s="10" t="inlineStr">
        <is>
          <t>跟进记录、复测计划、提醒状态和客户关联。</t>
        </is>
      </c>
    </row>
    <row r="50" ht="32" customHeight="1">
      <c r="A50" s="23" t="n"/>
      <c r="B50" s="22" t="inlineStr">
        <is>
          <t>测评管理</t>
        </is>
      </c>
      <c r="C50" s="10" t="inlineStr">
        <is>
          <t>测评业务</t>
        </is>
      </c>
      <c r="D50" s="10" t="inlineStr">
        <is>
          <t>测评列表</t>
        </is>
      </c>
      <c r="E50" s="11" t="inlineStr">
        <is>
          <t>已实现（菜单/路由已配置）</t>
        </is>
      </c>
      <c r="F50" s="10" t="inlineStr">
        <is>
          <t>查询用户测评及其处理状态。</t>
        </is>
      </c>
      <c r="G50" s="20" t="n">
        <v>1.5</v>
      </c>
      <c r="H50" s="10" t="inlineStr">
        <is>
          <t>测评查询、状态筛选和分页。</t>
        </is>
      </c>
    </row>
    <row r="51" ht="32" customHeight="1">
      <c r="A51" s="23" t="n"/>
      <c r="B51" s="23" t="n"/>
      <c r="C51" s="22" t="inlineStr">
        <is>
          <t>测评业务</t>
        </is>
      </c>
      <c r="D51" s="10" t="inlineStr">
        <is>
          <t>测评详情</t>
        </is>
      </c>
      <c r="E51" s="11" t="inlineStr">
        <is>
          <t>已实现（菜单/路由已配置）</t>
        </is>
      </c>
      <c r="F51" s="10" t="inlineStr">
        <is>
          <t>查看问卷、资料和测评输入详情。</t>
        </is>
      </c>
      <c r="G51" s="20" t="n">
        <v>1.5</v>
      </c>
      <c r="H51" s="10" t="inlineStr">
        <is>
          <t>问卷答案、附件和测评状态聚合展示。</t>
        </is>
      </c>
    </row>
    <row r="52" ht="32" customHeight="1">
      <c r="A52" s="23" t="n"/>
      <c r="B52" s="23" t="n"/>
      <c r="C52" s="23" t="n"/>
      <c r="D52" s="10" t="inlineStr">
        <is>
          <t>顾问代录测评</t>
        </is>
      </c>
      <c r="E52" s="11" t="inlineStr">
        <is>
          <t>已实现（菜单/路由已配置）</t>
        </is>
      </c>
      <c r="F52" s="10" t="inlineStr">
        <is>
          <t>由顾问代替客户录入问卷和附件资料。</t>
        </is>
      </c>
      <c r="G52" s="20" t="n">
        <v>2</v>
      </c>
      <c r="H52" s="10" t="inlineStr">
        <is>
          <t>顾问代录表单、附件与客户关联校验。</t>
        </is>
      </c>
    </row>
    <row r="53" ht="32" customHeight="1">
      <c r="A53" s="23" t="n"/>
      <c r="B53" s="23" t="n"/>
      <c r="C53" s="10" t="inlineStr">
        <is>
          <t>测评配置</t>
        </is>
      </c>
      <c r="D53" s="10" t="inlineStr">
        <is>
          <t>题库管理</t>
        </is>
      </c>
      <c r="E53" s="11" t="inlineStr">
        <is>
          <t>已实现（菜单/路由已配置）</t>
        </is>
      </c>
      <c r="F53" s="10" t="inlineStr">
        <is>
          <t>配置测评题目、选项和基础题库内容。</t>
        </is>
      </c>
      <c r="G53" s="20" t="n">
        <v>2.5</v>
      </c>
      <c r="H53" s="10" t="inlineStr">
        <is>
          <t>题目、选项、排序和题目规则的维护。</t>
        </is>
      </c>
    </row>
    <row r="54" ht="32" customHeight="1">
      <c r="A54" s="23" t="n"/>
      <c r="B54" s="22" t="inlineStr">
        <is>
          <t>方案中心</t>
        </is>
      </c>
      <c r="C54" s="10" t="inlineStr">
        <is>
          <t>方案管理</t>
        </is>
      </c>
      <c r="D54" s="10" t="inlineStr">
        <is>
          <t>方案列表</t>
        </is>
      </c>
      <c r="E54" s="11" t="inlineStr">
        <is>
          <t>已实现（菜单/路由已配置）</t>
        </is>
      </c>
      <c r="F54" s="10" t="inlineStr">
        <is>
          <t>查询和管理生成后的个性化方案。</t>
        </is>
      </c>
      <c r="G54" s="20" t="n">
        <v>1.5</v>
      </c>
      <c r="H54" s="10" t="inlineStr">
        <is>
          <t>方案查询、状态筛选和列表管理。</t>
        </is>
      </c>
    </row>
    <row r="55" ht="32" customHeight="1">
      <c r="A55" s="23" t="n"/>
      <c r="B55" s="23" t="n"/>
      <c r="C55" s="10" t="inlineStr">
        <is>
          <t>方案管理</t>
        </is>
      </c>
      <c r="D55" s="10" t="inlineStr">
        <is>
          <t>方案详情</t>
        </is>
      </c>
      <c r="E55" s="11" t="inlineStr">
        <is>
          <t>已实现（菜单/路由已配置）</t>
        </is>
      </c>
      <c r="F55" s="10" t="inlineStr">
        <is>
          <t>查看方案建议、输入依据和关联信息。</t>
        </is>
      </c>
      <c r="G55" s="20" t="n">
        <v>1.5</v>
      </c>
      <c r="H55" s="10" t="inlineStr">
        <is>
          <t>方案输入、结果及关联业务信息聚合。</t>
        </is>
      </c>
    </row>
    <row r="56" ht="32" customHeight="1">
      <c r="A56" s="23" t="n"/>
      <c r="B56" s="23" t="n"/>
      <c r="C56" s="10" t="inlineStr">
        <is>
          <t>方案审核</t>
        </is>
      </c>
      <c r="D56" s="10" t="inlineStr">
        <is>
          <t>方案审核</t>
        </is>
      </c>
      <c r="E56" s="11" t="inlineStr">
        <is>
          <t>已实现（菜单/路由已配置）</t>
        </is>
      </c>
      <c r="F56" s="10" t="inlineStr">
        <is>
          <t>对待确认方案执行审核或确认。</t>
        </is>
      </c>
      <c r="G56" s="20" t="n">
        <v>2</v>
      </c>
      <c r="H56" s="10" t="inlineStr">
        <is>
          <t>审核意见、状态流转、权限控制与操作留痕。</t>
        </is>
      </c>
    </row>
    <row r="57" ht="32" customHeight="1">
      <c r="A57" s="23" t="n"/>
      <c r="B57" s="23" t="n"/>
      <c r="C57" s="22" t="inlineStr">
        <is>
          <t>配方解析</t>
        </is>
      </c>
      <c r="D57" s="10" t="inlineStr">
        <is>
          <t>详细配方</t>
        </is>
      </c>
      <c r="E57" s="11" t="inlineStr">
        <is>
          <t>已实现（菜单/路由已配置）</t>
        </is>
      </c>
      <c r="F57" s="10" t="inlineStr">
        <is>
          <t>展示方案内原料或配方的详细组成。</t>
        </is>
      </c>
      <c r="G57" s="20" t="n">
        <v>1.5</v>
      </c>
      <c r="H57" s="10" t="inlineStr">
        <is>
          <t>配方明细、原料信息和说明展示。</t>
        </is>
      </c>
    </row>
    <row r="58" ht="32" customHeight="1">
      <c r="A58" s="23" t="n"/>
      <c r="B58" s="23" t="n"/>
      <c r="C58" s="23" t="n"/>
      <c r="D58" s="10" t="inlineStr">
        <is>
          <t>版本对比</t>
        </is>
      </c>
      <c r="E58" s="11" t="inlineStr">
        <is>
          <t>已实现（菜单/路由已配置）</t>
        </is>
      </c>
      <c r="F58" s="10" t="inlineStr">
        <is>
          <t>比较方案或配方不同版本的变化。</t>
        </is>
      </c>
      <c r="G58" s="20" t="n">
        <v>2</v>
      </c>
      <c r="H58" s="10" t="inlineStr">
        <is>
          <t>两个版本的字段／配方差异比对逻辑。</t>
        </is>
      </c>
    </row>
    <row r="59" ht="32" customHeight="1">
      <c r="A59" s="23" t="n"/>
      <c r="B59" s="22" t="inlineStr">
        <is>
          <t>订单中心</t>
        </is>
      </c>
      <c r="C59" s="10" t="inlineStr">
        <is>
          <t>订单管理</t>
        </is>
      </c>
      <c r="D59" s="10" t="inlineStr">
        <is>
          <t>订单列表</t>
        </is>
      </c>
      <c r="E59" s="11" t="inlineStr">
        <is>
          <t>已实现（菜单/路由已配置）</t>
        </is>
      </c>
      <c r="F59" s="10" t="inlineStr">
        <is>
          <t>查询订单、状态及关联客户／方案。</t>
        </is>
      </c>
      <c r="G59" s="20" t="n">
        <v>1.5</v>
      </c>
      <c r="H59" s="10" t="inlineStr">
        <is>
          <t>订单查询、状态筛选、分页和范围控制。</t>
        </is>
      </c>
    </row>
    <row r="60" ht="32" customHeight="1">
      <c r="A60" s="23" t="n"/>
      <c r="B60" s="23" t="n"/>
      <c r="C60" s="22" t="inlineStr">
        <is>
          <t>订单管理</t>
        </is>
      </c>
      <c r="D60" s="10" t="inlineStr">
        <is>
          <t>订单详情</t>
        </is>
      </c>
      <c r="E60" s="11" t="inlineStr">
        <is>
          <t>已实现（菜单/路由已配置）</t>
        </is>
      </c>
      <c r="F60" s="10" t="inlineStr">
        <is>
          <t>查看单笔订单的明细和处理过程。</t>
        </is>
      </c>
      <c r="G60" s="20" t="n">
        <v>1.5</v>
      </c>
      <c r="H60" s="10" t="inlineStr">
        <is>
          <t>订单明细、支付、方案与履约信息聚合。</t>
        </is>
      </c>
    </row>
    <row r="61" ht="32" customHeight="1">
      <c r="A61" s="23" t="n"/>
      <c r="B61" s="23" t="n"/>
      <c r="C61" s="23" t="n"/>
      <c r="D61" s="10" t="inlineStr">
        <is>
          <t>创建订单</t>
        </is>
      </c>
      <c r="E61" s="11" t="inlineStr">
        <is>
          <t>已实现（菜单/路由已配置）</t>
        </is>
      </c>
      <c r="F61" s="10" t="inlineStr">
        <is>
          <t>基于方案创建后台订单。</t>
        </is>
      </c>
      <c r="G61" s="20" t="n">
        <v>2</v>
      </c>
      <c r="H61" s="10" t="inlineStr">
        <is>
          <t>方案关联、建单表单、金额校验和订单初始化。</t>
        </is>
      </c>
    </row>
    <row r="62" ht="32" customHeight="1">
      <c r="A62" s="23" t="n"/>
      <c r="B62" s="23" t="n"/>
      <c r="C62" s="22" t="inlineStr">
        <is>
          <t>订单编排</t>
        </is>
      </c>
      <c r="D62" s="10" t="inlineStr">
        <is>
          <t>主子单拆分</t>
        </is>
      </c>
      <c r="E62" s="11" t="inlineStr">
        <is>
          <t>已实现（菜单/路由已配置）</t>
        </is>
      </c>
      <c r="F62" s="10" t="inlineStr">
        <is>
          <t>按生产或履约需要将主订单拆分为子订单。</t>
        </is>
      </c>
      <c r="G62" s="20" t="n">
        <v>3</v>
      </c>
      <c r="H62" s="10" t="inlineStr">
        <is>
          <t>拆单规则、数量校验、主子单关联和状态同步。</t>
        </is>
      </c>
    </row>
    <row r="63" ht="32" customHeight="1">
      <c r="A63" s="23" t="n"/>
      <c r="B63" s="23" t="n"/>
      <c r="C63" s="23" t="n"/>
      <c r="D63" s="10" t="inlineStr">
        <is>
          <t>SKU 快照</t>
        </is>
      </c>
      <c r="E63" s="11" t="inlineStr">
        <is>
          <t>已实现（菜单/路由已配置）</t>
        </is>
      </c>
      <c r="F63" s="10" t="inlineStr">
        <is>
          <t>保存订单形成时的 SKU 信息快照。</t>
        </is>
      </c>
      <c r="G63" s="20" t="n">
        <v>1</v>
      </c>
      <c r="H63" s="10" t="inlineStr">
        <is>
          <t>下单时 SKU 信息冻结、查询与关联展示。</t>
        </is>
      </c>
    </row>
    <row r="64" ht="32" customHeight="1">
      <c r="A64" s="23" t="n"/>
      <c r="B64" s="23" t="n"/>
      <c r="C64" s="10" t="inlineStr">
        <is>
          <t>售后服务</t>
        </is>
      </c>
      <c r="D64" s="10" t="inlineStr">
        <is>
          <t>售后处理</t>
        </is>
      </c>
      <c r="E64" s="11" t="inlineStr">
        <is>
          <t>已实现（菜单/路由已配置）</t>
        </is>
      </c>
      <c r="F64" s="10" t="inlineStr">
        <is>
          <t>处理订单售后、补发或异常事项。</t>
        </is>
      </c>
      <c r="G64" s="20" t="n">
        <v>2</v>
      </c>
      <c r="H64" s="10" t="inlineStr">
        <is>
          <t>售后申请、处理状态、原因记录和订单联动。</t>
        </is>
      </c>
    </row>
    <row r="65" ht="32" customHeight="1">
      <c r="A65" s="23" t="n"/>
      <c r="B65" s="22" t="inlineStr">
        <is>
          <t>财务审核</t>
        </is>
      </c>
      <c r="C65" s="10" t="inlineStr">
        <is>
          <t>到账审核</t>
        </is>
      </c>
      <c r="D65" s="10" t="inlineStr">
        <is>
          <t>审核列表</t>
        </is>
      </c>
      <c r="E65" s="11" t="inlineStr">
        <is>
          <t>已实现（菜单/路由已配置）</t>
        </is>
      </c>
      <c r="F65" s="10" t="inlineStr">
        <is>
          <t>查看待审核的订单收款记录。</t>
        </is>
      </c>
      <c r="G65" s="20" t="n">
        <v>1.5</v>
      </c>
      <c r="H65" s="10" t="inlineStr">
        <is>
          <t>待审核收款查询、筛选和分页。</t>
        </is>
      </c>
    </row>
    <row r="66" ht="32" customHeight="1">
      <c r="A66" s="23" t="n"/>
      <c r="B66" s="23" t="n"/>
      <c r="C66" s="10" t="inlineStr">
        <is>
          <t>到账审核</t>
        </is>
      </c>
      <c r="D66" s="10" t="inlineStr">
        <is>
          <t>审核详情</t>
        </is>
      </c>
      <c r="E66" s="11" t="inlineStr">
        <is>
          <t>已实现（菜单/路由已配置）</t>
        </is>
      </c>
      <c r="F66" s="10" t="inlineStr">
        <is>
          <t>核验单笔订单到账信息。</t>
        </is>
      </c>
      <c r="G66" s="20" t="n">
        <v>1.5</v>
      </c>
      <c r="H66" s="10" t="inlineStr">
        <is>
          <t>收款信息核验、审核动作与留痕。</t>
        </is>
      </c>
    </row>
    <row r="67" ht="32" customHeight="1">
      <c r="A67" s="23" t="n"/>
      <c r="B67" s="23" t="n"/>
      <c r="C67" s="10" t="inlineStr">
        <is>
          <t>对账补款</t>
        </is>
      </c>
      <c r="D67" s="10" t="inlineStr">
        <is>
          <t>金额对账与补款</t>
        </is>
      </c>
      <c r="E67" s="11" t="inlineStr">
        <is>
          <t>已实现（菜单/路由已配置）</t>
        </is>
      </c>
      <c r="F67" s="10" t="inlineStr">
        <is>
          <t>处理订单应收、实收差异和补款事项。</t>
        </is>
      </c>
      <c r="G67" s="20" t="n">
        <v>2.5</v>
      </c>
      <c r="H67" s="10" t="inlineStr">
        <is>
          <t>应收实收比对、差异计算、补款记录和状态联动。</t>
        </is>
      </c>
    </row>
    <row r="68" ht="32" customHeight="1">
      <c r="A68" s="23" t="n"/>
      <c r="B68" s="22" t="inlineStr">
        <is>
          <t>生产中心</t>
        </is>
      </c>
      <c r="C68" s="10" t="inlineStr">
        <is>
          <t>生产任务</t>
        </is>
      </c>
      <c r="D68" s="10" t="inlineStr">
        <is>
          <t>生产任务列表</t>
        </is>
      </c>
      <c r="E68" s="11" t="inlineStr">
        <is>
          <t>已实现（菜单/路由已配置）</t>
        </is>
      </c>
      <c r="F68" s="10" t="inlineStr">
        <is>
          <t>查询从订单转换而来的生产任务。</t>
        </is>
      </c>
      <c r="G68" s="20" t="n">
        <v>2</v>
      </c>
      <c r="H68" s="10" t="inlineStr">
        <is>
          <t>任务查询、工序状态、筛选和订单关联。</t>
        </is>
      </c>
    </row>
    <row r="69" ht="32" customHeight="1">
      <c r="A69" s="23" t="n"/>
      <c r="B69" s="23" t="n"/>
      <c r="C69" s="10" t="inlineStr">
        <is>
          <t>生产任务</t>
        </is>
      </c>
      <c r="D69" s="10" t="inlineStr">
        <is>
          <t>任务详情</t>
        </is>
      </c>
      <c r="E69" s="11" t="inlineStr">
        <is>
          <t>已实现（菜单/路由已配置）</t>
        </is>
      </c>
      <c r="F69" s="10" t="inlineStr">
        <is>
          <t>查看单个生产任务的执行信息。</t>
        </is>
      </c>
      <c r="G69" s="20" t="n">
        <v>1.5</v>
      </c>
      <c r="H69" s="10" t="inlineStr">
        <is>
          <t>任务明细、资源、耗料与执行状态聚合。</t>
        </is>
      </c>
    </row>
    <row r="70" ht="32" customHeight="1">
      <c r="A70" s="23" t="n"/>
      <c r="B70" s="23" t="n"/>
      <c r="C70" s="22" t="inlineStr">
        <is>
          <t>排产与设备</t>
        </is>
      </c>
      <c r="D70" s="10" t="inlineStr">
        <is>
          <t>排产台</t>
        </is>
      </c>
      <c r="E70" s="11" t="inlineStr">
        <is>
          <t>已实现（菜单/路由已配置）</t>
        </is>
      </c>
      <c r="F70" s="10" t="inlineStr">
        <is>
          <t>安排生产任务的时间、顺序和资源。</t>
        </is>
      </c>
      <c r="G70" s="20" t="n">
        <v>3</v>
      </c>
      <c r="H70" s="10" t="inlineStr">
        <is>
          <t>任务排程、资源冲突校验和排产状态维护。</t>
        </is>
      </c>
    </row>
    <row r="71" ht="32" customHeight="1">
      <c r="A71" s="23" t="n"/>
      <c r="B71" s="23" t="n"/>
      <c r="C71" s="23" t="n"/>
      <c r="D71" s="10" t="inlineStr">
        <is>
          <t>设备管理</t>
        </is>
      </c>
      <c r="E71" s="11" t="inlineStr">
        <is>
          <t>已实现（菜单/路由已配置）</t>
        </is>
      </c>
      <c r="F71" s="10" t="inlineStr">
        <is>
          <t>维护生产设备及其任务关联。</t>
        </is>
      </c>
      <c r="G71" s="20" t="n">
        <v>2.5</v>
      </c>
      <c r="H71" s="10" t="inlineStr">
        <is>
          <t>设备档案、可用状态、任务绑定和基础校验。</t>
        </is>
      </c>
    </row>
    <row r="72" ht="32" customHeight="1">
      <c r="A72" s="23" t="n"/>
      <c r="B72" s="23" t="n"/>
      <c r="C72" s="10" t="inlineStr">
        <is>
          <t>原料耗用</t>
        </is>
      </c>
      <c r="D72" s="10" t="inlineStr">
        <is>
          <t>SKU 耗料记录</t>
        </is>
      </c>
      <c r="E72" s="11" t="inlineStr">
        <is>
          <t>已实现（菜单/路由已配置）</t>
        </is>
      </c>
      <c r="F72" s="10" t="inlineStr">
        <is>
          <t>记录生产任务的 SKU 或原料消耗。</t>
        </is>
      </c>
      <c r="G72" s="20" t="n">
        <v>1.5</v>
      </c>
      <c r="H72" s="10" t="inlineStr">
        <is>
          <t>耗料登记、任务关联和库存扣减记录。</t>
        </is>
      </c>
    </row>
    <row r="73" ht="32" customHeight="1">
      <c r="A73" s="23" t="n"/>
      <c r="B73" s="22" t="inlineStr">
        <is>
          <t>履约中心</t>
        </is>
      </c>
      <c r="C73" s="10" t="inlineStr">
        <is>
          <t>履约跟踪</t>
        </is>
      </c>
      <c r="D73" s="10" t="inlineStr">
        <is>
          <t>履约列表</t>
        </is>
      </c>
      <c r="E73" s="11" t="inlineStr">
        <is>
          <t>已实现（菜单/路由已配置）</t>
        </is>
      </c>
      <c r="F73" s="10" t="inlineStr">
        <is>
          <t>汇总待履约和履约中的订单。</t>
        </is>
      </c>
      <c r="G73" s="20" t="n">
        <v>1.5</v>
      </c>
      <c r="H73" s="10" t="inlineStr">
        <is>
          <t>履约订单查询、节点状态与分页。</t>
        </is>
      </c>
    </row>
    <row r="74" ht="32" customHeight="1">
      <c r="A74" s="23" t="n"/>
      <c r="B74" s="23" t="n"/>
      <c r="C74" s="10" t="inlineStr">
        <is>
          <t>履约跟踪</t>
        </is>
      </c>
      <c r="D74" s="10" t="inlineStr">
        <is>
          <t>履约详情</t>
        </is>
      </c>
      <c r="E74" s="11" t="inlineStr">
        <is>
          <t>已实现（菜单/路由已配置）</t>
        </is>
      </c>
      <c r="F74" s="10" t="inlineStr">
        <is>
          <t>查看订单履约节点和处理情况。</t>
        </is>
      </c>
      <c r="G74" s="20" t="n">
        <v>1.5</v>
      </c>
      <c r="H74" s="10" t="inlineStr">
        <is>
          <t>履约节点、异常信息和订单关联展示。</t>
        </is>
      </c>
    </row>
    <row r="75" ht="32" customHeight="1">
      <c r="A75" s="23" t="n"/>
      <c r="B75" s="23" t="n"/>
      <c r="C75" s="10" t="inlineStr">
        <is>
          <t>子订单履约</t>
        </is>
      </c>
      <c r="D75" s="10" t="inlineStr">
        <is>
          <t>子订单跟踪</t>
        </is>
      </c>
      <c r="E75" s="11" t="inlineStr">
        <is>
          <t>已实现（菜单/路由已配置）</t>
        </is>
      </c>
      <c r="F75" s="10" t="inlineStr">
        <is>
          <t>跟踪拆分后子订单的履约进度。</t>
        </is>
      </c>
      <c r="G75" s="20" t="n">
        <v>1.5</v>
      </c>
      <c r="H75" s="10" t="inlineStr">
        <is>
          <t>子订单状态查询、节点追踪和主单映射。</t>
        </is>
      </c>
    </row>
    <row r="76" ht="32" customHeight="1">
      <c r="A76" s="23" t="n"/>
      <c r="B76" s="23" t="n"/>
      <c r="C76" s="10" t="inlineStr">
        <is>
          <t>签收管理</t>
        </is>
      </c>
      <c r="D76" s="10" t="inlineStr">
        <is>
          <t>签收记录</t>
        </is>
      </c>
      <c r="E76" s="11" t="inlineStr">
        <is>
          <t>已实现（菜单/路由已配置）</t>
        </is>
      </c>
      <c r="F76" s="10" t="inlineStr">
        <is>
          <t>记录和查询最终签收信息。</t>
        </is>
      </c>
      <c r="G76" s="20" t="n">
        <v>1.5</v>
      </c>
      <c r="H76" s="10" t="inlineStr">
        <is>
          <t>签收信息、凭证和状态确认记录。</t>
        </is>
      </c>
    </row>
    <row r="77" ht="32" customHeight="1">
      <c r="A77" s="23" t="n"/>
      <c r="B77" s="22" t="inlineStr">
        <is>
          <t>SKU 主数据</t>
        </is>
      </c>
      <c r="C77" s="10" t="inlineStr">
        <is>
          <t>SKU 台账</t>
        </is>
      </c>
      <c r="D77" s="10" t="inlineStr">
        <is>
          <t>SKU 台账</t>
        </is>
      </c>
      <c r="E77" s="11" t="inlineStr">
        <is>
          <t>已实现（菜单/路由已配置）</t>
        </is>
      </c>
      <c r="F77" s="10" t="inlineStr">
        <is>
          <t>管理 SKU 基础资料、状态和台账。</t>
        </is>
      </c>
      <c r="G77" s="20" t="n">
        <v>1.5</v>
      </c>
      <c r="H77" s="10" t="inlineStr">
        <is>
          <t>SKU 查询、状态维护和基础校验。</t>
        </is>
      </c>
    </row>
    <row r="78" ht="32" customHeight="1">
      <c r="A78" s="23" t="n"/>
      <c r="B78" s="23" t="n"/>
      <c r="C78" s="22" t="inlineStr">
        <is>
          <t>基础规则</t>
        </is>
      </c>
      <c r="D78" s="10" t="inlineStr">
        <is>
          <t>分类与规格</t>
        </is>
      </c>
      <c r="E78" s="11" t="inlineStr">
        <is>
          <t>已实现（菜单/路由已配置）</t>
        </is>
      </c>
      <c r="F78" s="10" t="inlineStr">
        <is>
          <t>维护 SKU 分类、规格等基础属性。</t>
        </is>
      </c>
      <c r="G78" s="20" t="n">
        <v>2</v>
      </c>
      <c r="H78" s="10" t="inlineStr">
        <is>
          <t>SKU 分类、规格属性和关联校验维护。</t>
        </is>
      </c>
    </row>
    <row r="79" ht="32" customHeight="1">
      <c r="A79" s="23" t="n"/>
      <c r="B79" s="23" t="n"/>
      <c r="C79" s="23" t="n"/>
      <c r="D79" s="10" t="inlineStr">
        <is>
          <t>供应商管理</t>
        </is>
      </c>
      <c r="E79" s="11" t="inlineStr">
        <is>
          <t>已实现（菜单/路由已配置）</t>
        </is>
      </c>
      <c r="F79" s="10" t="inlineStr">
        <is>
          <t>维护供应商档案及关联关系。</t>
        </is>
      </c>
      <c r="G79" s="20" t="n">
        <v>2</v>
      </c>
      <c r="H79" s="10" t="inlineStr">
        <is>
          <t>供应商档案、状态和 SKU 关联维护。</t>
        </is>
      </c>
    </row>
    <row r="80" ht="32" customHeight="1">
      <c r="A80" s="23" t="n"/>
      <c r="B80" s="23" t="n"/>
      <c r="C80" s="10" t="inlineStr">
        <is>
          <t>配方规则</t>
        </is>
      </c>
      <c r="D80" s="10" t="inlineStr">
        <is>
          <t>配方映射</t>
        </is>
      </c>
      <c r="E80" s="11" t="inlineStr">
        <is>
          <t>已实现（菜单/路由已配置）</t>
        </is>
      </c>
      <c r="F80" s="10" t="inlineStr">
        <is>
          <t>建立方案配方与 SKU 的映射关系。</t>
        </is>
      </c>
      <c r="G80" s="20" t="n">
        <v>2.5</v>
      </c>
      <c r="H80" s="10" t="inlineStr">
        <is>
          <t>配方与 SKU 映射规则、冲突校验和维护。</t>
        </is>
      </c>
    </row>
    <row r="81" ht="32" customHeight="1">
      <c r="A81" s="23" t="n"/>
      <c r="B81" s="22" t="inlineStr">
        <is>
          <t>库存采购</t>
        </is>
      </c>
      <c r="C81" s="10" t="inlineStr">
        <is>
          <t>库存监控</t>
        </is>
      </c>
      <c r="D81" s="10" t="inlineStr">
        <is>
          <t>库存总览</t>
        </is>
      </c>
      <c r="E81" s="11" t="inlineStr">
        <is>
          <t>已实现（菜单/路由已配置）</t>
        </is>
      </c>
      <c r="F81" s="10" t="inlineStr">
        <is>
          <t>查看当前库存、可用量和总体情况。</t>
        </is>
      </c>
      <c r="G81" s="20" t="n">
        <v>1.5</v>
      </c>
      <c r="H81" s="10" t="inlineStr">
        <is>
          <t>库存汇总、可用量计算和范围筛选。</t>
        </is>
      </c>
    </row>
    <row r="82" ht="32" customHeight="1">
      <c r="A82" s="23" t="n"/>
      <c r="B82" s="23" t="n"/>
      <c r="C82" s="10" t="inlineStr">
        <is>
          <t>库存监控</t>
        </is>
      </c>
      <c r="D82" s="10" t="inlineStr">
        <is>
          <t>库存变动</t>
        </is>
      </c>
      <c r="E82" s="11" t="inlineStr">
        <is>
          <t>已实现（菜单/路由已配置）</t>
        </is>
      </c>
      <c r="F82" s="10" t="inlineStr">
        <is>
          <t>追溯库存出入库和调整流水。</t>
        </is>
      </c>
      <c r="G82" s="20" t="n">
        <v>1.5</v>
      </c>
      <c r="H82" s="10" t="inlineStr">
        <is>
          <t>出入库流水查询、来源关联和追溯。</t>
        </is>
      </c>
    </row>
    <row r="83" ht="32" customHeight="1">
      <c r="A83" s="23" t="n"/>
      <c r="B83" s="23" t="n"/>
      <c r="C83" s="22" t="inlineStr">
        <is>
          <t>风险与采购</t>
        </is>
      </c>
      <c r="D83" s="10" t="inlineStr">
        <is>
          <t>预警中心</t>
        </is>
      </c>
      <c r="E83" s="11" t="inlineStr">
        <is>
          <t>已实现（菜单/路由已配置）</t>
        </is>
      </c>
      <c r="F83" s="10" t="inlineStr">
        <is>
          <t>展示低库存、断货等供应链风险。</t>
        </is>
      </c>
      <c r="G83" s="20" t="n">
        <v>2</v>
      </c>
      <c r="H83" s="10" t="inlineStr">
        <is>
          <t>库存阈值规则、预警生成、分级与查询。</t>
        </is>
      </c>
    </row>
    <row r="84" ht="32" customHeight="1">
      <c r="A84" s="23" t="n"/>
      <c r="B84" s="23" t="n"/>
      <c r="C84" s="23" t="n"/>
      <c r="D84" s="10" t="inlineStr">
        <is>
          <t>采购建议</t>
        </is>
      </c>
      <c r="E84" s="11" t="inlineStr">
        <is>
          <t>已实现（菜单/路由已配置）</t>
        </is>
      </c>
      <c r="F84" s="10" t="inlineStr">
        <is>
          <t>基于库存风险形成补货或采购建议。</t>
        </is>
      </c>
      <c r="G84" s="20" t="n">
        <v>2</v>
      </c>
      <c r="H84" s="10" t="inlineStr">
        <is>
          <t>库存规则计算、建议生成和采购数据展示。</t>
        </is>
      </c>
    </row>
    <row r="85" ht="32" customHeight="1">
      <c r="A85" s="23" t="n"/>
      <c r="B85" s="22" t="inlineStr">
        <is>
          <t>加盟商经营</t>
        </is>
      </c>
      <c r="C85" s="10" t="inlineStr">
        <is>
          <t>加盟商档案</t>
        </is>
      </c>
      <c r="D85" s="10" t="inlineStr">
        <is>
          <t>加盟商列表</t>
        </is>
      </c>
      <c r="E85" s="11" t="inlineStr">
        <is>
          <t>已实现（菜单/路由已配置）</t>
        </is>
      </c>
      <c r="F85" s="10" t="inlineStr">
        <is>
          <t>查询和管理加盟商主体。</t>
        </is>
      </c>
      <c r="G85" s="20" t="n">
        <v>1.5</v>
      </c>
      <c r="H85" s="10" t="inlineStr">
        <is>
          <t>加盟商查询、状态筛选和分页。</t>
        </is>
      </c>
    </row>
    <row r="86" ht="32" customHeight="1">
      <c r="A86" s="23" t="n"/>
      <c r="B86" s="23" t="n"/>
      <c r="C86" s="10" t="inlineStr">
        <is>
          <t>加盟商档案</t>
        </is>
      </c>
      <c r="D86" s="10" t="inlineStr">
        <is>
          <t>加盟商详情</t>
        </is>
      </c>
      <c r="E86" s="11" t="inlineStr">
        <is>
          <t>已实现（菜单/路由已配置）</t>
        </is>
      </c>
      <c r="F86" s="10" t="inlineStr">
        <is>
          <t>查看加盟商的档案和经营信息。</t>
        </is>
      </c>
      <c r="G86" s="20" t="n">
        <v>1.5</v>
      </c>
      <c r="H86" s="10" t="inlineStr">
        <is>
          <t>加盟商档案、门店和订货信息聚合。</t>
        </is>
      </c>
    </row>
    <row r="87" ht="32" customHeight="1">
      <c r="A87" s="23" t="n"/>
      <c r="B87" s="23" t="n"/>
      <c r="C87" s="22" t="inlineStr">
        <is>
          <t>门店运营</t>
        </is>
      </c>
      <c r="D87" s="10" t="inlineStr">
        <is>
          <t>门店看板</t>
        </is>
      </c>
      <c r="E87" s="11" t="inlineStr">
        <is>
          <t>已实现（菜单/路由已配置）</t>
        </is>
      </c>
      <c r="F87" s="10" t="inlineStr">
        <is>
          <t>展示加盟商门店的经营看板。</t>
        </is>
      </c>
      <c r="G87" s="20" t="n">
        <v>2</v>
      </c>
      <c r="H87" s="10" t="inlineStr">
        <is>
          <t>门店经营指标聚合、范围隔离和看板展示。</t>
        </is>
      </c>
    </row>
    <row r="88" ht="32" customHeight="1">
      <c r="A88" s="23" t="n"/>
      <c r="B88" s="23" t="n"/>
      <c r="C88" s="23" t="n"/>
      <c r="D88" s="10" t="inlineStr">
        <is>
          <t>本店库存</t>
        </is>
      </c>
      <c r="E88" s="11" t="inlineStr">
        <is>
          <t>已实现（菜单/路由已配置）</t>
        </is>
      </c>
      <c r="F88" s="10" t="inlineStr">
        <is>
          <t>查看指定加盟商或门店库存。</t>
        </is>
      </c>
      <c r="G88" s="20" t="n">
        <v>1</v>
      </c>
      <c r="H88" s="10" t="inlineStr">
        <is>
          <t>指定门店库存查询与状态展示。</t>
        </is>
      </c>
    </row>
    <row r="89" ht="32" customHeight="1">
      <c r="A89" s="23" t="n"/>
      <c r="B89" s="23" t="n"/>
      <c r="C89" s="10" t="inlineStr">
        <is>
          <t>订货管理</t>
        </is>
      </c>
      <c r="D89" s="10" t="inlineStr">
        <is>
          <t>订货单管理</t>
        </is>
      </c>
      <c r="E89" s="11" t="inlineStr">
        <is>
          <t>已实现（菜单/路由已配置）</t>
        </is>
      </c>
      <c r="F89" s="10" t="inlineStr">
        <is>
          <t>管理加盟商的订货单和处理状态。</t>
        </is>
      </c>
      <c r="G89" s="20" t="n">
        <v>2</v>
      </c>
      <c r="H89" s="10" t="inlineStr">
        <is>
          <t>订货单查询、创建／处理状态和加盟商关联。</t>
        </is>
      </c>
    </row>
    <row r="90" ht="32" customHeight="1">
      <c r="A90" s="23" t="n"/>
      <c r="B90" s="22" t="inlineStr">
        <is>
          <t>运营分析</t>
        </is>
      </c>
      <c r="C90" s="10" t="inlineStr">
        <is>
          <t>订单分析</t>
        </is>
      </c>
      <c r="D90" s="10" t="inlineStr">
        <is>
          <t>订单趋势</t>
        </is>
      </c>
      <c r="E90" s="11" t="inlineStr">
        <is>
          <t>已实现（菜单/路由已配置）</t>
        </is>
      </c>
      <c r="F90" s="10" t="inlineStr">
        <is>
          <t>分析订单规模与时间趋势。</t>
        </is>
      </c>
      <c r="G90" s="20" t="n">
        <v>2</v>
      </c>
      <c r="H90" s="10" t="inlineStr">
        <is>
          <t>订单时间维度聚合、趋势指标和图表展示。</t>
        </is>
      </c>
    </row>
    <row r="91" ht="32" customHeight="1">
      <c r="A91" s="23" t="n"/>
      <c r="B91" s="23" t="n"/>
      <c r="C91" s="22" t="inlineStr">
        <is>
          <t>供应链分析</t>
        </is>
      </c>
      <c r="D91" s="10" t="inlineStr">
        <is>
          <t>SKU 消耗</t>
        </is>
      </c>
      <c r="E91" s="11" t="inlineStr">
        <is>
          <t>已实现（菜单/路由已配置）</t>
        </is>
      </c>
      <c r="F91" s="10" t="inlineStr">
        <is>
          <t>分析 SKU 或原料消耗情况。</t>
        </is>
      </c>
      <c r="G91" s="20" t="n">
        <v>2</v>
      </c>
      <c r="H91" s="10" t="inlineStr">
        <is>
          <t>SKU 消耗聚合、维度筛选和图表展示。</t>
        </is>
      </c>
    </row>
    <row r="92" ht="32" customHeight="1">
      <c r="A92" s="23" t="n"/>
      <c r="B92" s="23" t="n"/>
      <c r="C92" s="23" t="n"/>
      <c r="D92" s="10" t="inlineStr">
        <is>
          <t>生产效率</t>
        </is>
      </c>
      <c r="E92" s="11" t="inlineStr">
        <is>
          <t>已实现（菜单/路由已配置）</t>
        </is>
      </c>
      <c r="F92" s="10" t="inlineStr">
        <is>
          <t>分析生产任务和资源效率。</t>
        </is>
      </c>
      <c r="G92" s="20" t="n">
        <v>2</v>
      </c>
      <c r="H92" s="10" t="inlineStr">
        <is>
          <t>生产效率指标计算、维度筛选和图表展示。</t>
        </is>
      </c>
    </row>
    <row r="93" ht="32" customHeight="1">
      <c r="A93" s="23" t="n"/>
      <c r="B93" s="23" t="n"/>
      <c r="C93" s="10" t="inlineStr">
        <is>
          <t>门店分析</t>
        </is>
      </c>
      <c r="D93" s="10" t="inlineStr">
        <is>
          <t>门店经营</t>
        </is>
      </c>
      <c r="E93" s="11" t="inlineStr">
        <is>
          <t>已实现（菜单/路由已配置）</t>
        </is>
      </c>
      <c r="F93" s="10" t="inlineStr">
        <is>
          <t>分析门店经营表现。</t>
        </is>
      </c>
      <c r="G93" s="20" t="n">
        <v>2</v>
      </c>
      <c r="H93" s="10" t="inlineStr">
        <is>
          <t>门店经营指标聚合、比较与图表展示。</t>
        </is>
      </c>
    </row>
    <row r="94" ht="32" customHeight="1">
      <c r="A94" s="23" t="n"/>
      <c r="B94" s="22" t="inlineStr">
        <is>
          <t>消息中心</t>
        </is>
      </c>
      <c r="C94" s="10" t="inlineStr">
        <is>
          <t>消息运营</t>
        </is>
      </c>
      <c r="D94" s="10" t="inlineStr">
        <is>
          <t>消息列表</t>
        </is>
      </c>
      <c r="E94" s="11" t="inlineStr">
        <is>
          <t>已实现（菜单/路由已配置）</t>
        </is>
      </c>
      <c r="F94" s="10" t="inlineStr">
        <is>
          <t>汇总后台业务通知和提醒。</t>
        </is>
      </c>
      <c r="G94" s="20" t="n">
        <v>1</v>
      </c>
      <c r="H94" s="10" t="inlineStr">
        <is>
          <t>站内消息查询、分类与已读状态展示。</t>
        </is>
      </c>
    </row>
    <row r="95" ht="32" customHeight="1">
      <c r="A95" s="23" t="n"/>
      <c r="B95" s="23" t="n"/>
      <c r="C95" s="10" t="inlineStr">
        <is>
          <t>消息运营</t>
        </is>
      </c>
      <c r="D95" s="10" t="inlineStr">
        <is>
          <t>消息详情</t>
        </is>
      </c>
      <c r="E95" s="11" t="inlineStr">
        <is>
          <t>已实现（菜单/路由已配置）</t>
        </is>
      </c>
      <c r="F95" s="10" t="inlineStr">
        <is>
          <t>查看单条后台消息的具体内容。</t>
        </is>
      </c>
      <c r="G95" s="20" t="n">
        <v>0.5</v>
      </c>
      <c r="H95" s="10" t="inlineStr">
        <is>
          <t>单条消息查询与阅读状态回写。</t>
        </is>
      </c>
    </row>
    <row r="96" ht="32" customHeight="1">
      <c r="A96" s="23" t="n"/>
      <c r="B96" s="22" t="inlineStr">
        <is>
          <t>集成开放</t>
        </is>
      </c>
      <c r="C96" s="10" t="inlineStr">
        <is>
          <t>设备集成</t>
        </is>
      </c>
      <c r="D96" s="10" t="inlineStr">
        <is>
          <t>设备接口</t>
        </is>
      </c>
      <c r="E96" s="11" t="inlineStr">
        <is>
          <t>已实现（菜单/路由已配置）</t>
        </is>
      </c>
      <c r="F96" s="10" t="inlineStr">
        <is>
          <t>提供生产或检测设备对接入口。</t>
        </is>
      </c>
      <c r="G96" s="20" t="n">
        <v>2.5</v>
      </c>
      <c r="H96" s="10" t="inlineStr">
        <is>
          <t>接口配置、调用封装、异常记录；不含设备厂商改造。</t>
        </is>
      </c>
    </row>
    <row r="97" ht="32" customHeight="1">
      <c r="A97" s="23" t="n"/>
      <c r="B97" s="23" t="n"/>
      <c r="C97" s="10" t="inlineStr">
        <is>
          <t>模型集成</t>
        </is>
      </c>
      <c r="D97" s="10" t="inlineStr">
        <is>
          <t>模型与回写</t>
        </is>
      </c>
      <c r="E97" s="11" t="inlineStr">
        <is>
          <t>已实现（菜单/路由已配置）</t>
        </is>
      </c>
      <c r="F97" s="10" t="inlineStr">
        <is>
          <t>承接模型调用及结果回写业务。</t>
        </is>
      </c>
      <c r="G97" s="20" t="n">
        <v>2.5</v>
      </c>
      <c r="H97" s="10" t="inlineStr">
        <is>
          <t>模型调用、结果解析、业务回写和异常处理。</t>
        </is>
      </c>
    </row>
    <row r="98" ht="32" customHeight="1">
      <c r="A98" s="23" t="n"/>
      <c r="B98" s="22" t="inlineStr">
        <is>
          <t>系统设置</t>
        </is>
      </c>
      <c r="C98" s="10" t="inlineStr">
        <is>
          <t>组织与人员</t>
        </is>
      </c>
      <c r="D98" s="10" t="inlineStr">
        <is>
          <t>部门管理</t>
        </is>
      </c>
      <c r="E98" s="11" t="inlineStr">
        <is>
          <t>已实现（菜单/路由已配置）</t>
        </is>
      </c>
      <c r="F98" s="10" t="inlineStr">
        <is>
          <t>维护组织部门结构。</t>
        </is>
      </c>
      <c r="G98" s="20" t="n">
        <v>2</v>
      </c>
      <c r="H98" s="10" t="inlineStr">
        <is>
          <t>组织树维护、层级校验和人员关联。</t>
        </is>
      </c>
    </row>
    <row r="99" ht="32" customHeight="1">
      <c r="A99" s="23" t="n"/>
      <c r="B99" s="23" t="n"/>
      <c r="C99" s="22" t="inlineStr">
        <is>
          <t>组织与人员</t>
        </is>
      </c>
      <c r="D99" s="10" t="inlineStr">
        <is>
          <t>人员管理</t>
        </is>
      </c>
      <c r="E99" s="11" t="inlineStr">
        <is>
          <t>已实现（菜单/路由已配置）</t>
        </is>
      </c>
      <c r="F99" s="10" t="inlineStr">
        <is>
          <t>维护员工或业务人员资料。</t>
        </is>
      </c>
      <c r="G99" s="20" t="n">
        <v>2</v>
      </c>
      <c r="H99" s="10" t="inlineStr">
        <is>
          <t>人员档案、状态和组织关联维护。</t>
        </is>
      </c>
    </row>
    <row r="100" ht="32" customHeight="1">
      <c r="A100" s="23" t="n"/>
      <c r="B100" s="23" t="n"/>
      <c r="C100" s="23" t="n"/>
      <c r="D100" s="10" t="inlineStr">
        <is>
          <t>账号管理</t>
        </is>
      </c>
      <c r="E100" s="11" t="inlineStr">
        <is>
          <t>已实现（菜单/路由已配置）</t>
        </is>
      </c>
      <c r="F100" s="10" t="inlineStr">
        <is>
          <t>管理系统登录账号。</t>
        </is>
      </c>
      <c r="G100" s="20" t="n">
        <v>2</v>
      </c>
      <c r="H100" s="10" t="inlineStr">
        <is>
          <t>账号创建、启停、角色关联和基础校验。</t>
        </is>
      </c>
    </row>
    <row r="101" ht="32" customHeight="1">
      <c r="A101" s="23" t="n"/>
      <c r="B101" s="23" t="n"/>
      <c r="C101" s="22" t="inlineStr">
        <is>
          <t>权限管理</t>
        </is>
      </c>
      <c r="D101" s="10" t="inlineStr">
        <is>
          <t>菜单管理</t>
        </is>
      </c>
      <c r="E101" s="11" t="inlineStr">
        <is>
          <t>已实现（菜单/路由已配置）</t>
        </is>
      </c>
      <c r="F101" s="10" t="inlineStr">
        <is>
          <t>配置系统菜单及入口。</t>
        </is>
      </c>
      <c r="G101" s="20" t="n">
        <v>2</v>
      </c>
      <c r="H101" s="10" t="inlineStr">
        <is>
          <t>菜单树维护、路由配置和权限关联。</t>
        </is>
      </c>
    </row>
    <row r="102" ht="32" customHeight="1">
      <c r="A102" s="23" t="n"/>
      <c r="B102" s="23" t="n"/>
      <c r="C102" s="23" t="n"/>
      <c r="D102" s="10" t="inlineStr">
        <is>
          <t>角色管理</t>
        </is>
      </c>
      <c r="E102" s="11" t="inlineStr">
        <is>
          <t>已实现（菜单/路由已配置）</t>
        </is>
      </c>
      <c r="F102" s="10" t="inlineStr">
        <is>
          <t>配置岗位角色及授权范围。</t>
        </is>
      </c>
      <c r="G102" s="20" t="n">
        <v>2.5</v>
      </c>
      <c r="H102" s="10" t="inlineStr">
        <is>
          <t>角色授权、菜单／数据权限配置和校验。</t>
        </is>
      </c>
    </row>
    <row r="103" ht="32" customHeight="1">
      <c r="A103" s="23" t="n"/>
      <c r="B103" s="23" t="n"/>
      <c r="C103" s="22" t="inlineStr">
        <is>
          <t>基础配置</t>
        </is>
      </c>
      <c r="D103" s="10" t="inlineStr">
        <is>
          <t>字典管理</t>
        </is>
      </c>
      <c r="E103" s="11" t="inlineStr">
        <is>
          <t>已实现（菜单/路由已配置）</t>
        </is>
      </c>
      <c r="F103" s="10" t="inlineStr">
        <is>
          <t>维护通用字典分类。</t>
        </is>
      </c>
      <c r="G103" s="20" t="n">
        <v>2</v>
      </c>
      <c r="H103" s="10" t="inlineStr">
        <is>
          <t>字典分类维护及业务引用校验。</t>
        </is>
      </c>
    </row>
    <row r="104" ht="32" customHeight="1">
      <c r="A104" s="23" t="n"/>
      <c r="B104" s="23" t="n"/>
      <c r="C104" s="23" t="n"/>
      <c r="D104" s="10" t="inlineStr">
        <is>
          <t>字典数据</t>
        </is>
      </c>
      <c r="E104" s="11" t="inlineStr">
        <is>
          <t>已实现（菜单/路由已配置）</t>
        </is>
      </c>
      <c r="F104" s="10" t="inlineStr">
        <is>
          <t>维护字典分类下的具体数据项。</t>
        </is>
      </c>
      <c r="G104" s="20" t="n">
        <v>1.5</v>
      </c>
      <c r="H104" s="10" t="inlineStr">
        <is>
          <t>字典项维护、排序、启停和引用校验。</t>
        </is>
      </c>
    </row>
    <row r="105" ht="32" customHeight="1">
      <c r="A105" s="23" t="n"/>
      <c r="B105" s="23" t="n"/>
      <c r="C105" s="23" t="n"/>
      <c r="D105" s="10" t="inlineStr">
        <is>
          <t>租户管理</t>
        </is>
      </c>
      <c r="E105" s="11" t="inlineStr">
        <is>
          <t>已实现（菜单/路由已配置）</t>
        </is>
      </c>
      <c r="F105" s="10" t="inlineStr">
        <is>
          <t>管理多租户主体及其配置。</t>
        </is>
      </c>
      <c r="G105" s="20" t="n">
        <v>2</v>
      </c>
      <c r="H105" s="10" t="inlineStr">
        <is>
          <t>租户档案、状态和基础隔离配置。</t>
        </is>
      </c>
    </row>
    <row r="106" ht="32" customHeight="1">
      <c r="A106" s="23" t="n"/>
      <c r="B106" s="23" t="n"/>
      <c r="C106" s="23" t="n"/>
      <c r="D106" s="10" t="inlineStr">
        <is>
          <t>系统配置</t>
        </is>
      </c>
      <c r="E106" s="11" t="inlineStr">
        <is>
          <t>已实现（菜单/路由已配置）</t>
        </is>
      </c>
      <c r="F106" s="10" t="inlineStr">
        <is>
          <t>维护系统级参数和基础配置。</t>
        </is>
      </c>
      <c r="G106" s="20" t="n">
        <v>2.5</v>
      </c>
      <c r="H106" s="10" t="inlineStr">
        <is>
          <t>系统参数维护、配置校验和生效控制。</t>
        </is>
      </c>
    </row>
    <row r="107" ht="32" customHeight="1">
      <c r="A107" s="23" t="n"/>
      <c r="B107" s="23" t="n"/>
      <c r="C107" s="10" t="inlineStr">
        <is>
          <t>审计追踪</t>
        </is>
      </c>
      <c r="D107" s="10" t="inlineStr">
        <is>
          <t>操作日志</t>
        </is>
      </c>
      <c r="E107" s="11" t="inlineStr">
        <is>
          <t>已实现（菜单/路由已配置）</t>
        </is>
      </c>
      <c r="F107" s="10" t="inlineStr">
        <is>
          <t>查询管理端关键操作记录。</t>
        </is>
      </c>
      <c r="G107" s="20" t="n">
        <v>1.5</v>
      </c>
      <c r="H107" s="10" t="inlineStr">
        <is>
          <t>操作日志查询、筛选、分页和追溯。</t>
        </is>
      </c>
    </row>
  </sheetData>
  <mergeCells count="46">
    <mergeCell ref="B65:B67"/>
    <mergeCell ref="B96:B97"/>
    <mergeCell ref="B50:B53"/>
    <mergeCell ref="C11:C13"/>
    <mergeCell ref="B21:B24"/>
    <mergeCell ref="B25:B32"/>
    <mergeCell ref="B77:B80"/>
    <mergeCell ref="B59:B64"/>
    <mergeCell ref="B46:B49"/>
    <mergeCell ref="C16:C17"/>
    <mergeCell ref="C103:C106"/>
    <mergeCell ref="C9:C10"/>
    <mergeCell ref="B68:B72"/>
    <mergeCell ref="C47:C48"/>
    <mergeCell ref="C34:C36"/>
    <mergeCell ref="B73:B76"/>
    <mergeCell ref="C99:C100"/>
    <mergeCell ref="A42:A107"/>
    <mergeCell ref="B54:B58"/>
    <mergeCell ref="C40:C41"/>
    <mergeCell ref="B85:B89"/>
    <mergeCell ref="C70:C71"/>
    <mergeCell ref="C23:C24"/>
    <mergeCell ref="C101:C102"/>
    <mergeCell ref="B33:B41"/>
    <mergeCell ref="C51:C52"/>
    <mergeCell ref="C57:C58"/>
    <mergeCell ref="B43:B45"/>
    <mergeCell ref="C60:C61"/>
    <mergeCell ref="C27:C28"/>
    <mergeCell ref="C7:C8"/>
    <mergeCell ref="C29:C31"/>
    <mergeCell ref="C78:C79"/>
    <mergeCell ref="C91:C92"/>
    <mergeCell ref="B98:B107"/>
    <mergeCell ref="A5:A41"/>
    <mergeCell ref="B6:B13"/>
    <mergeCell ref="C62:C63"/>
    <mergeCell ref="C19:C20"/>
    <mergeCell ref="C87:C88"/>
    <mergeCell ref="C38:C39"/>
    <mergeCell ref="B94:B95"/>
    <mergeCell ref="C83:C84"/>
    <mergeCell ref="B81:B84"/>
    <mergeCell ref="B14:B20"/>
    <mergeCell ref="B90:B93"/>
  </mergeCells>
  <conditionalFormatting sqref="E5:E107">
    <cfRule type="cellIs" priority="1" operator="equal" dxfId="0">
      <formula>"已实现（已核验）"</formula>
    </cfRule>
    <cfRule type="cellIs" priority="2" operator="equal" dxfId="1">
      <formula>"已实现（菜单/路由已配置）"</formula>
    </cfRule>
  </conditionalFormatting>
  <conditionalFormatting sqref="G5:G107">
    <cfRule type="colorScale" priority="3">
      <colorScale>
        <cfvo type="min"/>
        <cfvo type="percentile" val="50"/>
        <cfvo type="max"/>
        <color rgb="00E2F0D9"/>
        <color rgb="00FFF2CC"/>
        <color rgb="00F4CCCC"/>
      </colorScale>
    </cfRule>
    <cfRule type="colorScale" priority="4">
      <colorScale>
        <cfvo type="min"/>
        <cfvo type="percentile" val="50"/>
        <cfvo type="max"/>
        <color rgb="00E2F0D9"/>
        <color rgb="00FFF2CC"/>
        <color rgb="00F4CCCC"/>
      </colorScale>
    </cfRule>
    <cfRule type="colorScale" priority="5">
      <colorScale>
        <cfvo type="min"/>
        <cfvo type="percentile" val="50"/>
        <cfvo type="max"/>
        <color rgb="00E2F0D9"/>
        <color rgb="00FFF2CC"/>
        <color rgb="00F4CCCC"/>
      </colorScale>
    </cfRule>
    <cfRule type="colorScale" priority="6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2026-07-24T02:27:23Z</dcterms:created>
  <dcterms:modified xmlns:dcterms="http://purl.org/dc/terms/" xmlns:xsi="http://www.w3.org/2001/XMLSchema-instance" xsi:type="dcterms:W3CDTF">2026-07-24T04:01:58Z</dcterms:modified>
</cp:coreProperties>
</file>